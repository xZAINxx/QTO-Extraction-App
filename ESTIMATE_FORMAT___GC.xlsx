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d.docs.live.net/64c7900bad93e29d/NEW JOBS TO BID/001 - 2026/072 MAR 2026/4-16 NYS OMH BUFFALO P.C - A.Wahab 4 6 26 - Full Job - BNZ Builder/"/>
    </mc:Choice>
  </mc:AlternateContent>
  <xr:revisionPtr revIDLastSave="2" documentId="8_{85563617-99CF-4538-8125-AF357FA9C9F8}" xr6:coauthVersionLast="47" xr6:coauthVersionMax="47" xr10:uidLastSave="{007755AF-D8C6-4044-910B-1EDF42568A1C}"/>
  <bookViews>
    <workbookView xWindow="-108" yWindow="-108" windowWidth="23256" windowHeight="12576" xr2:uid="{00000000-000D-0000-FFFF-FFFF00000000}"/>
  </bookViews>
  <sheets>
    <sheet name="Sheet1" sheetId="1" r:id="rId1"/>
  </sheets>
  <definedNames>
    <definedName name="_xlnm.Print_Area" localSheetId="0">Sheet1!$A$1:$H$123</definedName>
    <definedName name="_xlnm.Print_Titles" localSheetId="0">Sheet1!$7:$7</definedName>
  </definedNames>
  <calcPr calcId="191029"/>
</workbook>
</file>

<file path=xl/calcChain.xml><?xml version="1.0" encoding="utf-8"?>
<calcChain xmlns="http://schemas.openxmlformats.org/spreadsheetml/2006/main">
  <c r="A44" i="1" l="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H46" i="1" l="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43" i="1"/>
  <c r="H44" i="1"/>
  <c r="H45" i="1"/>
  <c r="H20" i="1"/>
  <c r="H21" i="1"/>
  <c r="H23" i="1"/>
  <c r="H24" i="1"/>
  <c r="H26" i="1"/>
  <c r="H28" i="1"/>
  <c r="H29" i="1"/>
  <c r="H30" i="1"/>
  <c r="H32" i="1"/>
  <c r="H33" i="1"/>
  <c r="H34" i="1"/>
  <c r="H10" i="1"/>
  <c r="H11" i="1"/>
  <c r="H12" i="1"/>
  <c r="H15" i="1"/>
  <c r="H102" i="1"/>
  <c r="H18" i="1" l="1"/>
  <c r="H17" i="1"/>
  <c r="H22" i="1" l="1"/>
  <c r="H19" i="1"/>
  <c r="E9" i="1"/>
  <c r="H9" i="1" s="1"/>
  <c r="H31" i="1"/>
  <c r="H42" i="1"/>
  <c r="H40" i="1"/>
  <c r="H38" i="1"/>
  <c r="H36" i="1"/>
  <c r="E14" i="1"/>
  <c r="H14" i="1" s="1"/>
  <c r="E13" i="1"/>
  <c r="H13" i="1" s="1"/>
  <c r="H27" i="1" l="1"/>
  <c r="H25" i="1"/>
  <c r="H100" i="1" l="1"/>
  <c r="H101" i="1" s="1"/>
  <c r="H103" i="1" s="1"/>
  <c r="G116" i="1" l="1"/>
  <c r="H116" i="1" s="1"/>
  <c r="G110" i="1"/>
  <c r="H110" i="1" s="1"/>
  <c r="G115" i="1"/>
  <c r="H115" i="1" s="1"/>
  <c r="G109" i="1"/>
  <c r="H109" i="1" s="1"/>
  <c r="G105" i="1"/>
  <c r="H105" i="1" s="1"/>
  <c r="G114" i="1"/>
  <c r="H114" i="1" s="1"/>
  <c r="G108" i="1"/>
  <c r="H108" i="1" s="1"/>
  <c r="G117" i="1"/>
  <c r="H117" i="1" s="1"/>
  <c r="G119" i="1"/>
  <c r="H119" i="1" s="1"/>
  <c r="G113" i="1"/>
  <c r="H113" i="1" s="1"/>
  <c r="G107" i="1"/>
  <c r="H107" i="1" s="1"/>
  <c r="G111" i="1"/>
  <c r="H111" i="1" s="1"/>
  <c r="G118" i="1"/>
  <c r="H118" i="1" s="1"/>
  <c r="G112" i="1"/>
  <c r="H112" i="1" s="1"/>
  <c r="G106" i="1"/>
  <c r="H106" i="1" s="1"/>
</calcChain>
</file>

<file path=xl/sharedStrings.xml><?xml version="1.0" encoding="utf-8"?>
<sst xmlns="http://schemas.openxmlformats.org/spreadsheetml/2006/main" count="103" uniqueCount="82">
  <si>
    <t>DESCRIPTION OF WORK</t>
  </si>
  <si>
    <t>QTY</t>
  </si>
  <si>
    <t xml:space="preserve">UNITS </t>
  </si>
  <si>
    <t>UNIT PRICE</t>
  </si>
  <si>
    <t>TOTAL</t>
  </si>
  <si>
    <t>LS</t>
  </si>
  <si>
    <t xml:space="preserve">Also the prices that assigned to the each Item is not final, It is for reference purpose only, Please do your own pricing subject to the company's resources and current situation. The final decision is on GC. </t>
  </si>
  <si>
    <t>S.NO</t>
  </si>
  <si>
    <t>SUPERVISION</t>
  </si>
  <si>
    <t>WEEKS</t>
  </si>
  <si>
    <t>SITE-SAFETY PLAN</t>
  </si>
  <si>
    <t>PROJECT ENGINEERING/ FILLINGS / PERMITS</t>
  </si>
  <si>
    <t>BASELINE CPM SCHEDULE</t>
  </si>
  <si>
    <t>CPM MONTHLY UPDATES</t>
  </si>
  <si>
    <t>MONTHS</t>
  </si>
  <si>
    <t>SUBMITTALS / APPROVALS</t>
  </si>
  <si>
    <t>TEMPORARY FACILITIES AND CONTROLS</t>
  </si>
  <si>
    <t>TEMPORARY TOILET FACILITY</t>
  </si>
  <si>
    <t xml:space="preserve">RECOMENDDED BIDDING NUMBER </t>
  </si>
  <si>
    <t>DESCRIPTION:</t>
  </si>
  <si>
    <t>PERFORMANCE PERIOD:</t>
  </si>
  <si>
    <t>DAYS</t>
  </si>
  <si>
    <t>LIQUIDATED DAMAGES:</t>
  </si>
  <si>
    <t>PER DAY</t>
  </si>
  <si>
    <t>BID OPENING DATE:</t>
  </si>
  <si>
    <t>a</t>
  </si>
  <si>
    <t>c</t>
  </si>
  <si>
    <t>d</t>
  </si>
  <si>
    <t>e</t>
  </si>
  <si>
    <t>f</t>
  </si>
  <si>
    <t>g</t>
  </si>
  <si>
    <t>PROJECT MEETINGS</t>
  </si>
  <si>
    <t>h</t>
  </si>
  <si>
    <t>GENERAL &amp; SUPPLEMENTRY REQUIREMENTS</t>
  </si>
  <si>
    <t>TEMPORARY POWER</t>
  </si>
  <si>
    <t>CONTRACTOR'S FIELD OFFICE - DELIVERY/INITIAL SETUP</t>
  </si>
  <si>
    <t>CONTRACTOR'S FIELD OFFICE - MONTLY RENTALS &amp; MAINTE</t>
  </si>
  <si>
    <t>PC/FAX/PRINTER/INTERNET-SCA FIELD OFFICE</t>
  </si>
  <si>
    <t xml:space="preserve">INSTALL &amp; REMOVE SIDEWALK SHED + 3MONTHS INITIAL RENT </t>
  </si>
  <si>
    <t>SIDEWALK SHED RENT @ (5% + SALES TAX)/MONTH</t>
  </si>
  <si>
    <t>SCAFFOLD RENT @ (5% + SALES TAX)/MONTH</t>
  </si>
  <si>
    <t>SCAFFOLD LIGHTING</t>
  </si>
  <si>
    <t>LABOR FOR SITE CLEANING AND MAINTENANCE</t>
  </si>
  <si>
    <t>LEAD PAINT REMOVAL</t>
  </si>
  <si>
    <t>ACM PRICE</t>
  </si>
  <si>
    <t>PCB PRICE</t>
  </si>
  <si>
    <t>LNFT</t>
  </si>
  <si>
    <t>ASBESTOS ABATEMENT IF ANY</t>
  </si>
  <si>
    <t>PLUMBING</t>
  </si>
  <si>
    <t>ELECTRIC</t>
  </si>
  <si>
    <t>WORKERS COMPENSATION INSURANCE</t>
  </si>
  <si>
    <t>10% O&amp;P</t>
  </si>
  <si>
    <t>11% O&amp;P</t>
  </si>
  <si>
    <t>12% O&amp;P</t>
  </si>
  <si>
    <t>13% O&amp;P</t>
  </si>
  <si>
    <t>14% O&amp;P</t>
  </si>
  <si>
    <t>15% O&amp;P</t>
  </si>
  <si>
    <t>16% O&amp;P</t>
  </si>
  <si>
    <t>17% O&amp;P</t>
  </si>
  <si>
    <t>18% O&amp;P</t>
  </si>
  <si>
    <t>19 % O&amp;P</t>
  </si>
  <si>
    <t>20% O&amp;P</t>
  </si>
  <si>
    <t>TAG</t>
  </si>
  <si>
    <t>DRAWINGS,
DETAILS</t>
  </si>
  <si>
    <t>TEMPORARY CHAIN LINK FENCE</t>
  </si>
  <si>
    <t>HVAC</t>
  </si>
  <si>
    <t>EXTRA LABOR TO MOVE SCAFFOLD MATERIAL INSIDE (IF REQUIRED)</t>
  </si>
  <si>
    <t>SECURITY GUARD 1 (16hrs/day weekdays, 24hrs/day weekends), Guard 1</t>
  </si>
  <si>
    <t>SECURITY GUARD BOOTH, GUARD 1</t>
  </si>
  <si>
    <t>SUB-TOTAL</t>
  </si>
  <si>
    <t>TOTAL BASE BID</t>
  </si>
  <si>
    <t>BOND 2.5%</t>
  </si>
  <si>
    <t>25% O&amp;P</t>
  </si>
  <si>
    <t>30% O&amp;P</t>
  </si>
  <si>
    <t>35% O&amp;P</t>
  </si>
  <si>
    <t>40% O&amp;P</t>
  </si>
  <si>
    <t>PLEASE CHECK THE PRICES WITH VENDORS</t>
  </si>
  <si>
    <t>INSTALL AND REMOVE SCAFFOLD</t>
  </si>
  <si>
    <t>CONSTRUCTIONS</t>
  </si>
  <si>
    <t>SQ FT</t>
  </si>
  <si>
    <t>PROJECT:</t>
  </si>
  <si>
    <t>BID ESTIMATE FOR GUY R. BREWER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</si>
</sst>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_(* #,##0_);_(* \(#,##0\);_(* &quot;-&quot;??_);_(@_)"/>
  </numFmts>
  <fonts count="24">
    <font>
      <sz val="11"/>
      <color theme="1"/>
      <name val="Calibri"/>
      <family val="2"/>
      <scheme val="minor"/>
    </font>
    <font>
      <b/>
      <sz val="11"/>
      <color theme="1"/>
      <name val="Calibri"/>
      <family val="2"/>
      <scheme val="minor"/>
    </font>
    <font>
      <sz val="14"/>
      <color theme="1"/>
      <name val="Arial Black"/>
      <family val="2"/>
    </font>
    <font>
      <b/>
      <sz val="14"/>
      <color theme="1"/>
      <name val="Arial"/>
      <family val="2"/>
    </font>
    <font>
      <sz val="12"/>
      <color theme="1"/>
      <name val="Arial Black"/>
      <family val="2"/>
    </font>
    <font>
      <b/>
      <sz val="14"/>
      <color theme="1"/>
      <name val="Times New Roman"/>
      <family val="1"/>
    </font>
    <font>
      <b/>
      <sz val="16"/>
      <color theme="1"/>
      <name val="Calibri"/>
      <family val="2"/>
      <scheme val="minor"/>
    </font>
    <font>
      <sz val="11"/>
      <color theme="1"/>
      <name val="Calibri"/>
      <family val="2"/>
      <scheme val="minor"/>
    </font>
    <font>
      <u/>
      <sz val="14"/>
      <color theme="1"/>
      <name val="Arial Black"/>
      <family val="2"/>
    </font>
    <font>
      <b/>
      <sz val="12"/>
      <color theme="1"/>
      <name val="Arial"/>
      <family val="2"/>
    </font>
    <font>
      <b/>
      <sz val="12"/>
      <color theme="1"/>
      <name val="Arial "/>
    </font>
    <font>
      <b/>
      <sz val="14"/>
      <color theme="1"/>
      <name val="Arial Black"/>
      <family val="2"/>
    </font>
    <font>
      <sz val="14"/>
      <color theme="1"/>
      <name val="Arial "/>
    </font>
    <font>
      <sz val="14"/>
      <color indexed="8"/>
      <name val="Arial "/>
    </font>
    <font>
      <sz val="14"/>
      <name val="Arial "/>
    </font>
    <font>
      <sz val="18"/>
      <color theme="1"/>
      <name val="Arial Black"/>
      <family val="2"/>
    </font>
    <font>
      <sz val="16"/>
      <color theme="1"/>
      <name val="Arial Black"/>
      <family val="2"/>
    </font>
    <font>
      <sz val="14"/>
      <color theme="1"/>
      <name val="Arial"/>
      <family val="2"/>
    </font>
    <font>
      <sz val="14"/>
      <color rgb="FFFF0000"/>
      <name val="Arial "/>
    </font>
    <font>
      <sz val="14"/>
      <name val="Arial"/>
      <family val="2"/>
    </font>
    <font>
      <b/>
      <sz val="14"/>
      <color rgb="FFFF0000"/>
      <name val="Arial "/>
    </font>
    <font>
      <b/>
      <sz val="12"/>
      <color theme="1"/>
      <name val="Arial Black"/>
      <family val="2"/>
    </font>
    <font>
      <sz val="8"/>
      <name val="Calibri"/>
      <family val="2"/>
      <scheme val="minor"/>
    </font>
    <font>
      <sz val="12"/>
      <color theme="1"/>
      <name val="Arial"/>
      <family val="2"/>
    </font>
  </fonts>
  <fills count="8">
    <fill>
      <patternFill patternType="none"/>
    </fill>
    <fill>
      <patternFill patternType="gray125"/>
    </fill>
    <fill>
      <patternFill patternType="solid">
        <fgColor indexed="9"/>
        <bgColor auto="1"/>
      </patternFill>
    </fill>
    <fill>
      <patternFill patternType="solid">
        <fgColor theme="3"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6" tint="0.59999389629810485"/>
        <bgColor indexed="64"/>
      </patternFill>
    </fill>
  </fills>
  <borders count="1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indexed="64"/>
      </right>
      <top style="thin">
        <color auto="1"/>
      </top>
      <bottom style="medium">
        <color auto="1"/>
      </bottom>
      <diagonal/>
    </border>
    <border>
      <left style="medium">
        <color auto="1"/>
      </left>
      <right/>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indexed="64"/>
      </right>
      <top style="thin">
        <color auto="1"/>
      </top>
      <bottom style="thin">
        <color indexed="64"/>
      </bottom>
      <diagonal/>
    </border>
  </borders>
  <cellStyleXfs count="4">
    <xf numFmtId="0" fontId="0"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111">
    <xf numFmtId="0" fontId="0" fillId="0" borderId="0" xfId="0"/>
    <xf numFmtId="0" fontId="0" fillId="0" borderId="3" xfId="0" applyBorder="1"/>
    <xf numFmtId="0" fontId="0" fillId="0" borderId="5" xfId="0" applyBorder="1"/>
    <xf numFmtId="49" fontId="2" fillId="0" borderId="0" xfId="0" applyNumberFormat="1" applyFont="1" applyAlignment="1">
      <alignment horizontal="center" vertical="center" wrapText="1"/>
    </xf>
    <xf numFmtId="0" fontId="12" fillId="0" borderId="5" xfId="0" applyFont="1" applyBorder="1" applyAlignment="1">
      <alignment horizontal="center" vertical="center"/>
    </xf>
    <xf numFmtId="0" fontId="12" fillId="0" borderId="3" xfId="0" applyFont="1" applyBorder="1"/>
    <xf numFmtId="0" fontId="12" fillId="0" borderId="3" xfId="0" applyFont="1" applyBorder="1" applyAlignment="1">
      <alignment horizontal="center" vertical="top"/>
    </xf>
    <xf numFmtId="0" fontId="14" fillId="0" borderId="3" xfId="0" applyFont="1" applyBorder="1" applyAlignment="1">
      <alignment vertical="top"/>
    </xf>
    <xf numFmtId="0" fontId="14" fillId="0" borderId="3" xfId="0" applyFont="1" applyBorder="1" applyAlignment="1">
      <alignment horizontal="center" vertical="center"/>
    </xf>
    <xf numFmtId="49" fontId="13" fillId="2" borderId="3" xfId="0" applyNumberFormat="1" applyFont="1" applyFill="1" applyBorder="1" applyAlignment="1">
      <alignment horizontal="left" vertical="center" wrapText="1"/>
    </xf>
    <xf numFmtId="0" fontId="12" fillId="0" borderId="3" xfId="0" applyFont="1" applyBorder="1" applyAlignment="1">
      <alignment horizontal="center" vertical="center"/>
    </xf>
    <xf numFmtId="44" fontId="12" fillId="0" borderId="3" xfId="0" applyNumberFormat="1" applyFont="1"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43" fontId="9" fillId="0" borderId="0" xfId="1" applyFont="1" applyBorder="1" applyAlignment="1">
      <alignment horizontal="center" vertical="center" wrapText="1"/>
    </xf>
    <xf numFmtId="43" fontId="0" fillId="0" borderId="0" xfId="1" applyFont="1" applyAlignment="1">
      <alignment horizontal="center" vertical="center"/>
    </xf>
    <xf numFmtId="0" fontId="14" fillId="0" borderId="3" xfId="0" applyFont="1" applyBorder="1" applyAlignment="1">
      <alignment horizontal="left" vertical="center"/>
    </xf>
    <xf numFmtId="1" fontId="14" fillId="0" borderId="3" xfId="3" applyNumberFormat="1" applyFont="1" applyBorder="1" applyAlignment="1">
      <alignment horizontal="center" vertical="center"/>
    </xf>
    <xf numFmtId="0" fontId="19" fillId="0" borderId="3" xfId="0" applyFont="1" applyBorder="1" applyAlignment="1">
      <alignment vertical="center" wrapText="1"/>
    </xf>
    <xf numFmtId="0" fontId="19" fillId="4" borderId="3" xfId="0" applyFont="1" applyFill="1" applyBorder="1" applyAlignment="1">
      <alignment vertical="center" wrapText="1"/>
    </xf>
    <xf numFmtId="0" fontId="17" fillId="0" borderId="3" xfId="0" applyFont="1" applyBorder="1" applyAlignment="1">
      <alignment vertical="center" wrapText="1"/>
    </xf>
    <xf numFmtId="0" fontId="19" fillId="0" borderId="3" xfId="0" applyFont="1" applyBorder="1" applyAlignment="1">
      <alignment horizontal="left" vertical="center" wrapText="1"/>
    </xf>
    <xf numFmtId="0" fontId="17" fillId="0" borderId="3" xfId="0" applyFont="1" applyBorder="1" applyAlignment="1">
      <alignment horizontal="left" vertical="center" wrapText="1"/>
    </xf>
    <xf numFmtId="1" fontId="14" fillId="0" borderId="3" xfId="1" applyNumberFormat="1" applyFont="1" applyBorder="1" applyAlignment="1">
      <alignment horizontal="center" vertical="center"/>
    </xf>
    <xf numFmtId="0" fontId="18" fillId="0" borderId="3" xfId="0" applyFont="1" applyBorder="1" applyAlignment="1">
      <alignment vertical="center" wrapText="1"/>
    </xf>
    <xf numFmtId="0" fontId="20" fillId="0" borderId="3" xfId="0" applyFont="1" applyBorder="1" applyAlignment="1">
      <alignment vertical="center" wrapText="1"/>
    </xf>
    <xf numFmtId="1" fontId="12" fillId="0" borderId="3" xfId="0" applyNumberFormat="1" applyFont="1" applyBorder="1" applyAlignment="1">
      <alignment horizontal="center" vertical="center"/>
    </xf>
    <xf numFmtId="0" fontId="15" fillId="0" borderId="3" xfId="0" applyFont="1" applyBorder="1" applyAlignment="1">
      <alignment vertical="center" wrapText="1"/>
    </xf>
    <xf numFmtId="0" fontId="21" fillId="0" borderId="3" xfId="0" applyFont="1" applyBorder="1" applyAlignment="1">
      <alignment horizontal="center" vertical="center" wrapText="1"/>
    </xf>
    <xf numFmtId="0" fontId="4" fillId="0" borderId="3" xfId="0" applyFont="1" applyBorder="1" applyAlignment="1">
      <alignment horizontal="center" vertical="center" wrapText="1"/>
    </xf>
    <xf numFmtId="9" fontId="21" fillId="0" borderId="3" xfId="0" applyNumberFormat="1" applyFont="1" applyBorder="1" applyAlignment="1">
      <alignment horizontal="center" vertical="center" wrapText="1"/>
    </xf>
    <xf numFmtId="9" fontId="4" fillId="0" borderId="3" xfId="0" applyNumberFormat="1" applyFont="1" applyBorder="1" applyAlignment="1">
      <alignment horizontal="center" vertical="center" wrapText="1"/>
    </xf>
    <xf numFmtId="18" fontId="9" fillId="0" borderId="0" xfId="1" applyNumberFormat="1" applyFont="1" applyBorder="1" applyAlignment="1">
      <alignment horizontal="center" vertical="center" wrapText="1"/>
    </xf>
    <xf numFmtId="44" fontId="14" fillId="0" borderId="3" xfId="0" applyNumberFormat="1" applyFont="1" applyBorder="1" applyAlignment="1">
      <alignment horizontal="center" vertical="center" wrapText="1"/>
    </xf>
    <xf numFmtId="44" fontId="12" fillId="0" borderId="3" xfId="2" applyFont="1" applyBorder="1" applyAlignment="1">
      <alignment horizontal="center" vertical="center"/>
    </xf>
    <xf numFmtId="44" fontId="15" fillId="0" borderId="3" xfId="0" applyNumberFormat="1" applyFont="1" applyBorder="1" applyAlignment="1">
      <alignment vertical="center" wrapText="1"/>
    </xf>
    <xf numFmtId="0" fontId="20" fillId="0" borderId="3" xfId="0" applyFont="1" applyBorder="1" applyAlignment="1">
      <alignment horizontal="center" vertical="center"/>
    </xf>
    <xf numFmtId="0" fontId="12" fillId="4" borderId="5" xfId="0" applyFont="1" applyFill="1" applyBorder="1" applyAlignment="1">
      <alignment horizontal="center" vertical="center"/>
    </xf>
    <xf numFmtId="0" fontId="12" fillId="4" borderId="3" xfId="0" applyFont="1" applyFill="1" applyBorder="1"/>
    <xf numFmtId="1" fontId="14" fillId="4" borderId="3" xfId="1" applyNumberFormat="1" applyFont="1" applyFill="1" applyBorder="1" applyAlignment="1">
      <alignment horizontal="center" vertical="center"/>
    </xf>
    <xf numFmtId="0" fontId="14" fillId="4" borderId="3" xfId="0" applyFont="1" applyFill="1" applyBorder="1" applyAlignment="1">
      <alignment horizontal="center" vertical="center"/>
    </xf>
    <xf numFmtId="44" fontId="14" fillId="4" borderId="3" xfId="0" applyNumberFormat="1" applyFont="1" applyFill="1" applyBorder="1" applyAlignment="1">
      <alignment horizontal="center" vertical="center" wrapText="1"/>
    </xf>
    <xf numFmtId="49" fontId="2" fillId="0" borderId="0" xfId="0" applyNumberFormat="1" applyFont="1" applyAlignment="1">
      <alignment horizontal="left" vertical="center"/>
    </xf>
    <xf numFmtId="0" fontId="19" fillId="4" borderId="3" xfId="0" applyFont="1" applyFill="1" applyBorder="1" applyAlignment="1">
      <alignment horizontal="left" vertical="center" wrapText="1"/>
    </xf>
    <xf numFmtId="0" fontId="11" fillId="4" borderId="5" xfId="0" applyFont="1" applyFill="1" applyBorder="1" applyAlignment="1">
      <alignment horizontal="left" vertical="top" wrapText="1"/>
    </xf>
    <xf numFmtId="0" fontId="11" fillId="4" borderId="3" xfId="0" applyFont="1" applyFill="1" applyBorder="1" applyAlignment="1">
      <alignment horizontal="left" vertical="top" wrapText="1"/>
    </xf>
    <xf numFmtId="1" fontId="19" fillId="0" borderId="3" xfId="0" applyNumberFormat="1" applyFont="1" applyBorder="1" applyAlignment="1">
      <alignment horizontal="center" vertical="center"/>
    </xf>
    <xf numFmtId="0" fontId="19" fillId="0" borderId="3" xfId="0" applyFont="1" applyBorder="1" applyAlignment="1">
      <alignment horizontal="center" vertical="center"/>
    </xf>
    <xf numFmtId="44" fontId="19" fillId="0" borderId="3" xfId="0" applyNumberFormat="1" applyFont="1" applyBorder="1" applyAlignment="1">
      <alignment horizontal="center" vertical="center" wrapText="1"/>
    </xf>
    <xf numFmtId="0" fontId="23" fillId="0" borderId="3" xfId="0" applyFont="1" applyBorder="1" applyAlignment="1">
      <alignment horizontal="center" vertical="center"/>
    </xf>
    <xf numFmtId="0" fontId="23" fillId="4" borderId="3" xfId="0" applyFont="1" applyFill="1" applyBorder="1" applyAlignment="1">
      <alignment horizontal="center" vertical="center"/>
    </xf>
    <xf numFmtId="1" fontId="23" fillId="4" borderId="3" xfId="0" applyNumberFormat="1" applyFont="1" applyFill="1" applyBorder="1" applyAlignment="1">
      <alignment horizontal="center" vertical="center" wrapText="1"/>
    </xf>
    <xf numFmtId="165" fontId="14" fillId="4" borderId="3" xfId="1" applyNumberFormat="1" applyFont="1" applyFill="1" applyBorder="1" applyAlignment="1">
      <alignment horizontal="center" vertical="center"/>
    </xf>
    <xf numFmtId="0" fontId="6" fillId="0" borderId="0" xfId="0" applyFont="1" applyAlignment="1">
      <alignment horizontal="center" wrapText="1"/>
    </xf>
    <xf numFmtId="0" fontId="15"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0" fillId="0" borderId="3" xfId="0" applyBorder="1" applyAlignment="1">
      <alignment horizontal="center"/>
    </xf>
    <xf numFmtId="0" fontId="15" fillId="0" borderId="14" xfId="0" applyFont="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vertical="center" wrapText="1"/>
    </xf>
    <xf numFmtId="49" fontId="9" fillId="6" borderId="0" xfId="0" applyNumberFormat="1" applyFont="1" applyFill="1" applyAlignment="1">
      <alignment horizontal="center" vertical="center" wrapText="1"/>
    </xf>
    <xf numFmtId="164" fontId="10" fillId="6" borderId="0" xfId="2" applyNumberFormat="1" applyFont="1" applyFill="1" applyBorder="1" applyAlignment="1">
      <alignment horizontal="center" vertical="center" wrapText="1"/>
    </xf>
    <xf numFmtId="0" fontId="1" fillId="7" borderId="1" xfId="0" applyFont="1" applyFill="1" applyBorder="1" applyAlignment="1">
      <alignment horizontal="center" vertical="center"/>
    </xf>
    <xf numFmtId="0" fontId="1" fillId="7" borderId="2" xfId="0" applyFont="1" applyFill="1" applyBorder="1" applyAlignment="1">
      <alignment horizontal="center" vertical="center" wrapText="1"/>
    </xf>
    <xf numFmtId="0" fontId="1" fillId="7" borderId="2" xfId="0" applyFont="1" applyFill="1" applyBorder="1" applyAlignment="1">
      <alignment horizontal="center" wrapText="1"/>
    </xf>
    <xf numFmtId="0" fontId="1" fillId="7" borderId="2" xfId="0" applyFont="1" applyFill="1" applyBorder="1" applyAlignment="1">
      <alignment horizontal="center" vertical="center"/>
    </xf>
    <xf numFmtId="43" fontId="1" fillId="7" borderId="2" xfId="1" applyFont="1" applyFill="1" applyBorder="1" applyAlignment="1">
      <alignment horizontal="center" vertical="center"/>
    </xf>
    <xf numFmtId="49" fontId="10" fillId="6" borderId="0" xfId="0" applyNumberFormat="1" applyFont="1" applyFill="1" applyAlignment="1">
      <alignment horizontal="center" vertical="center" wrapText="1"/>
    </xf>
    <xf numFmtId="0" fontId="1" fillId="7" borderId="6" xfId="0" applyFont="1" applyFill="1" applyBorder="1" applyAlignment="1">
      <alignment horizontal="center" vertical="center"/>
    </xf>
    <xf numFmtId="44" fontId="14" fillId="0" borderId="4" xfId="0" applyNumberFormat="1" applyFont="1" applyBorder="1" applyAlignment="1">
      <alignment horizontal="center" vertical="center"/>
    </xf>
    <xf numFmtId="44" fontId="19" fillId="0" borderId="4" xfId="0" applyNumberFormat="1" applyFont="1" applyBorder="1" applyAlignment="1">
      <alignment horizontal="center" vertical="center"/>
    </xf>
    <xf numFmtId="44" fontId="12" fillId="0" borderId="4" xfId="0" applyNumberFormat="1" applyFont="1" applyBorder="1" applyAlignment="1">
      <alignment horizontal="center" vertical="center"/>
    </xf>
    <xf numFmtId="44" fontId="17" fillId="0" borderId="4" xfId="2" applyFont="1" applyBorder="1" applyAlignment="1">
      <alignment horizontal="center" vertical="center"/>
    </xf>
    <xf numFmtId="44" fontId="15" fillId="0" borderId="4" xfId="2" applyFont="1" applyBorder="1" applyAlignment="1">
      <alignment horizontal="center" vertical="center"/>
    </xf>
    <xf numFmtId="44" fontId="15" fillId="0" borderId="7" xfId="0" applyNumberFormat="1" applyFont="1" applyBorder="1" applyAlignment="1">
      <alignment horizontal="center" vertical="center"/>
    </xf>
    <xf numFmtId="44" fontId="15" fillId="0" borderId="15" xfId="0" applyNumberFormat="1" applyFont="1" applyBorder="1" applyAlignment="1">
      <alignment horizontal="center" vertical="center"/>
    </xf>
    <xf numFmtId="44" fontId="15" fillId="0" borderId="4" xfId="0" applyNumberFormat="1" applyFont="1" applyBorder="1" applyAlignment="1">
      <alignment horizontal="center" vertical="center"/>
    </xf>
    <xf numFmtId="0" fontId="0" fillId="0" borderId="5" xfId="0" applyBorder="1" applyAlignment="1">
      <alignment horizontal="center"/>
    </xf>
    <xf numFmtId="0" fontId="0" fillId="0" borderId="16" xfId="0" applyBorder="1"/>
    <xf numFmtId="0" fontId="0" fillId="0" borderId="17" xfId="0" applyBorder="1"/>
    <xf numFmtId="44" fontId="15" fillId="0" borderId="7" xfId="0" applyNumberFormat="1" applyFont="1" applyBorder="1" applyAlignment="1">
      <alignment vertical="center" wrapText="1"/>
    </xf>
    <xf numFmtId="0" fontId="12" fillId="4" borderId="3" xfId="0" applyFont="1" applyFill="1" applyBorder="1" applyAlignment="1">
      <alignment horizontal="center" vertical="center"/>
    </xf>
    <xf numFmtId="3" fontId="17" fillId="0" borderId="3" xfId="0" applyNumberFormat="1" applyFont="1" applyBorder="1" applyAlignment="1">
      <alignment horizontal="center" vertical="center" wrapText="1"/>
    </xf>
    <xf numFmtId="0" fontId="11" fillId="3" borderId="5" xfId="0" applyFont="1" applyFill="1" applyBorder="1" applyAlignment="1">
      <alignment horizontal="left" vertical="top" wrapText="1"/>
    </xf>
    <xf numFmtId="0" fontId="11" fillId="3" borderId="3" xfId="0" applyFont="1" applyFill="1" applyBorder="1" applyAlignment="1">
      <alignment horizontal="left" vertical="top" wrapText="1"/>
    </xf>
    <xf numFmtId="0" fontId="11" fillId="3" borderId="4" xfId="0" applyFont="1" applyFill="1" applyBorder="1" applyAlignment="1">
      <alignment horizontal="left" vertical="top" wrapText="1"/>
    </xf>
    <xf numFmtId="0" fontId="2" fillId="5" borderId="5" xfId="0" applyFont="1" applyFill="1" applyBorder="1" applyAlignment="1">
      <alignment horizontal="left" vertical="center"/>
    </xf>
    <xf numFmtId="0" fontId="2" fillId="5" borderId="3" xfId="0" applyFont="1" applyFill="1" applyBorder="1" applyAlignment="1">
      <alignment horizontal="left" vertical="center"/>
    </xf>
    <xf numFmtId="0" fontId="2" fillId="5" borderId="4" xfId="0" applyFont="1" applyFill="1" applyBorder="1" applyAlignment="1">
      <alignment horizontal="left" vertical="center"/>
    </xf>
    <xf numFmtId="0" fontId="2" fillId="3" borderId="5"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16" fillId="0" borderId="0" xfId="0" applyFont="1" applyAlignment="1">
      <alignment horizontal="center" vertical="top" wrapText="1"/>
    </xf>
    <xf numFmtId="49" fontId="4" fillId="0" borderId="0" xfId="0" applyNumberFormat="1" applyFont="1" applyAlignment="1">
      <alignment horizontal="left" vertical="center" wrapText="1"/>
    </xf>
    <xf numFmtId="49" fontId="3" fillId="0" borderId="0" xfId="0" applyNumberFormat="1" applyFont="1" applyAlignment="1">
      <alignment horizontal="center" vertical="center" wrapText="1"/>
    </xf>
    <xf numFmtId="49" fontId="8" fillId="0" borderId="0" xfId="0" applyNumberFormat="1" applyFont="1" applyAlignment="1">
      <alignment horizontal="left" wrapText="1"/>
    </xf>
    <xf numFmtId="49" fontId="2" fillId="0" borderId="0" xfId="0" applyNumberFormat="1" applyFont="1" applyAlignment="1">
      <alignment horizontal="left" wrapText="1"/>
    </xf>
    <xf numFmtId="49" fontId="4" fillId="0" borderId="0" xfId="0" applyNumberFormat="1" applyFont="1" applyAlignment="1">
      <alignment horizontal="left" wrapText="1"/>
    </xf>
    <xf numFmtId="0" fontId="5" fillId="0" borderId="0" xfId="0" applyFont="1" applyAlignment="1">
      <alignment horizontal="left" vertical="center" wrapText="1"/>
    </xf>
    <xf numFmtId="0" fontId="2" fillId="0" borderId="12" xfId="0" applyFont="1" applyBorder="1" applyAlignment="1">
      <alignment horizontal="right" vertical="center" wrapText="1"/>
    </xf>
    <xf numFmtId="0" fontId="2" fillId="0" borderId="13" xfId="0" applyFont="1" applyBorder="1" applyAlignment="1">
      <alignment horizontal="right"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2" fillId="0" borderId="0" xfId="0" applyFont="1" applyAlignment="1">
      <alignment horizontal="center" vertical="center"/>
    </xf>
    <xf numFmtId="0" fontId="11" fillId="3" borderId="8" xfId="0" applyFont="1" applyFill="1" applyBorder="1" applyAlignment="1">
      <alignment horizontal="left" vertical="center"/>
    </xf>
    <xf numFmtId="0" fontId="11" fillId="3" borderId="9" xfId="0" applyFont="1" applyFill="1" applyBorder="1" applyAlignment="1">
      <alignment horizontal="left" vertical="center"/>
    </xf>
    <xf numFmtId="0" fontId="11" fillId="3" borderId="18" xfId="0" applyFont="1" applyFill="1" applyBorder="1" applyAlignment="1">
      <alignment horizontal="left" vertic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57604</xdr:colOff>
      <xdr:row>121</xdr:row>
      <xdr:rowOff>138793</xdr:rowOff>
    </xdr:from>
    <xdr:to>
      <xdr:col>1</xdr:col>
      <xdr:colOff>235404</xdr:colOff>
      <xdr:row>121</xdr:row>
      <xdr:rowOff>253094</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57604" y="73522114"/>
          <a:ext cx="572407" cy="114301"/>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rgbClr val="FF0000"/>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02"/>
  <sheetViews>
    <sheetView tabSelected="1" view="pageBreakPreview" topLeftCell="A97" zoomScale="50" zoomScaleSheetLayoutView="50" workbookViewId="0">
      <selection activeCell="B26" sqref="B26"/>
    </sheetView>
  </sheetViews>
  <sheetFormatPr defaultRowHeight="14.4"/>
  <cols>
    <col min="1" max="1" width="5.77734375" customWidth="1"/>
    <col min="2" max="3" width="23.77734375" customWidth="1"/>
    <col min="4" max="4" width="60.44140625" customWidth="1"/>
    <col min="5" max="5" width="15.44140625" style="15" customWidth="1"/>
    <col min="6" max="6" width="14.5546875" style="13" bestFit="1" customWidth="1"/>
    <col min="7" max="7" width="26.77734375" style="13" customWidth="1"/>
    <col min="8" max="8" width="39.5546875" style="12" customWidth="1"/>
    <col min="9" max="9" width="8.77734375" customWidth="1"/>
    <col min="10" max="10" width="18.21875" customWidth="1"/>
    <col min="11" max="11" width="14.77734375" customWidth="1"/>
    <col min="12" max="12" width="12.77734375" customWidth="1"/>
  </cols>
  <sheetData>
    <row r="1" spans="1:8" ht="55.95" customHeight="1">
      <c r="A1" s="92" t="s">
        <v>81</v>
      </c>
      <c r="B1" s="92"/>
      <c r="C1" s="92"/>
      <c r="D1" s="92"/>
      <c r="E1" s="92"/>
      <c r="F1" s="92"/>
      <c r="G1" s="92"/>
      <c r="H1" s="92"/>
    </row>
    <row r="2" spans="1:8" ht="27.6" customHeight="1">
      <c r="A2" s="95" t="s">
        <v>80</v>
      </c>
      <c r="B2" s="96"/>
      <c r="C2" s="96"/>
      <c r="D2" s="96"/>
      <c r="E2" s="96"/>
      <c r="F2" s="96"/>
      <c r="G2" s="96"/>
      <c r="H2" s="96"/>
    </row>
    <row r="3" spans="1:8" ht="24.75" customHeight="1">
      <c r="A3" s="97" t="s">
        <v>19</v>
      </c>
      <c r="B3" s="97"/>
      <c r="C3" s="97"/>
      <c r="D3" s="94"/>
      <c r="E3" s="94"/>
      <c r="F3" s="94"/>
      <c r="G3" s="94"/>
      <c r="H3" s="94"/>
    </row>
    <row r="4" spans="1:8" ht="26.25" customHeight="1">
      <c r="A4" s="93" t="s">
        <v>20</v>
      </c>
      <c r="B4" s="93"/>
      <c r="C4" s="93"/>
      <c r="D4" s="60"/>
      <c r="E4" s="14" t="s">
        <v>21</v>
      </c>
      <c r="F4" s="42"/>
      <c r="G4" s="3"/>
      <c r="H4" s="3"/>
    </row>
    <row r="5" spans="1:8" ht="24" customHeight="1">
      <c r="A5" s="93" t="s">
        <v>22</v>
      </c>
      <c r="B5" s="93"/>
      <c r="C5" s="93"/>
      <c r="D5" s="61"/>
      <c r="E5" s="14" t="s">
        <v>23</v>
      </c>
      <c r="F5" s="42"/>
      <c r="G5" s="3"/>
      <c r="H5" s="3"/>
    </row>
    <row r="6" spans="1:8" ht="24" customHeight="1" thickBot="1">
      <c r="A6" s="93" t="s">
        <v>24</v>
      </c>
      <c r="B6" s="93"/>
      <c r="C6" s="93"/>
      <c r="D6" s="67"/>
      <c r="E6" s="32"/>
      <c r="F6" s="3"/>
      <c r="G6" s="3"/>
      <c r="H6" s="3"/>
    </row>
    <row r="7" spans="1:8" ht="28.5" customHeight="1">
      <c r="A7" s="62" t="s">
        <v>7</v>
      </c>
      <c r="B7" s="63" t="s">
        <v>63</v>
      </c>
      <c r="C7" s="64" t="s">
        <v>62</v>
      </c>
      <c r="D7" s="65" t="s">
        <v>0</v>
      </c>
      <c r="E7" s="66" t="s">
        <v>1</v>
      </c>
      <c r="F7" s="65" t="s">
        <v>2</v>
      </c>
      <c r="G7" s="63" t="s">
        <v>3</v>
      </c>
      <c r="H7" s="68" t="s">
        <v>4</v>
      </c>
    </row>
    <row r="8" spans="1:8" ht="21">
      <c r="A8" s="83" t="s">
        <v>33</v>
      </c>
      <c r="B8" s="84"/>
      <c r="C8" s="84"/>
      <c r="D8" s="84"/>
      <c r="E8" s="84"/>
      <c r="F8" s="84"/>
      <c r="G8" s="84"/>
      <c r="H8" s="85"/>
    </row>
    <row r="9" spans="1:8" ht="25.05" customHeight="1">
      <c r="A9" s="4">
        <v>1</v>
      </c>
      <c r="B9" s="5"/>
      <c r="C9" s="6" t="s">
        <v>25</v>
      </c>
      <c r="D9" s="7" t="s">
        <v>8</v>
      </c>
      <c r="E9" s="17">
        <f>(D4-30)/7</f>
        <v>-4.2857142857142856</v>
      </c>
      <c r="F9" s="8" t="s">
        <v>9</v>
      </c>
      <c r="G9" s="33"/>
      <c r="H9" s="69">
        <f>E9*G9</f>
        <v>0</v>
      </c>
    </row>
    <row r="10" spans="1:8" ht="25.05" customHeight="1">
      <c r="A10" s="4"/>
      <c r="B10" s="5"/>
      <c r="C10" s="6" t="s">
        <v>26</v>
      </c>
      <c r="D10" s="7" t="s">
        <v>10</v>
      </c>
      <c r="E10" s="17">
        <v>1</v>
      </c>
      <c r="F10" s="8" t="s">
        <v>5</v>
      </c>
      <c r="G10" s="33"/>
      <c r="H10" s="69">
        <f t="shared" ref="H10:H15" si="0">E10*G10</f>
        <v>0</v>
      </c>
    </row>
    <row r="11" spans="1:8" ht="25.05" customHeight="1">
      <c r="A11" s="4"/>
      <c r="B11" s="5"/>
      <c r="C11" s="6" t="s">
        <v>27</v>
      </c>
      <c r="D11" s="7" t="s">
        <v>11</v>
      </c>
      <c r="E11" s="17">
        <v>1</v>
      </c>
      <c r="F11" s="8" t="s">
        <v>5</v>
      </c>
      <c r="G11" s="33"/>
      <c r="H11" s="69">
        <f t="shared" si="0"/>
        <v>0</v>
      </c>
    </row>
    <row r="12" spans="1:8" ht="25.05" customHeight="1">
      <c r="A12" s="4"/>
      <c r="B12" s="5"/>
      <c r="C12" s="6" t="s">
        <v>28</v>
      </c>
      <c r="D12" s="7" t="s">
        <v>12</v>
      </c>
      <c r="E12" s="17">
        <v>1</v>
      </c>
      <c r="F12" s="8" t="s">
        <v>5</v>
      </c>
      <c r="G12" s="33"/>
      <c r="H12" s="69">
        <f t="shared" si="0"/>
        <v>0</v>
      </c>
    </row>
    <row r="13" spans="1:8" ht="25.05" customHeight="1">
      <c r="A13" s="4"/>
      <c r="B13" s="5"/>
      <c r="C13" s="6" t="s">
        <v>29</v>
      </c>
      <c r="D13" s="7" t="s">
        <v>13</v>
      </c>
      <c r="E13" s="17">
        <f>(D4)/30</f>
        <v>0</v>
      </c>
      <c r="F13" s="8" t="s">
        <v>14</v>
      </c>
      <c r="G13" s="33"/>
      <c r="H13" s="69">
        <f t="shared" si="0"/>
        <v>0</v>
      </c>
    </row>
    <row r="14" spans="1:8" ht="25.05" customHeight="1">
      <c r="A14" s="4"/>
      <c r="B14" s="5"/>
      <c r="C14" s="6" t="s">
        <v>30</v>
      </c>
      <c r="D14" s="9" t="s">
        <v>31</v>
      </c>
      <c r="E14" s="17">
        <f>(D4)/7</f>
        <v>0</v>
      </c>
      <c r="F14" s="8" t="s">
        <v>9</v>
      </c>
      <c r="G14" s="33"/>
      <c r="H14" s="69">
        <f t="shared" si="0"/>
        <v>0</v>
      </c>
    </row>
    <row r="15" spans="1:8" ht="25.05" customHeight="1">
      <c r="A15" s="4"/>
      <c r="B15" s="5"/>
      <c r="C15" s="6" t="s">
        <v>32</v>
      </c>
      <c r="D15" s="7" t="s">
        <v>15</v>
      </c>
      <c r="E15" s="17">
        <v>1</v>
      </c>
      <c r="F15" s="8" t="s">
        <v>5</v>
      </c>
      <c r="G15" s="33"/>
      <c r="H15" s="69">
        <f t="shared" si="0"/>
        <v>0</v>
      </c>
    </row>
    <row r="16" spans="1:8" ht="21">
      <c r="A16" s="83" t="s">
        <v>16</v>
      </c>
      <c r="B16" s="84"/>
      <c r="C16" s="84"/>
      <c r="D16" s="84"/>
      <c r="E16" s="84"/>
      <c r="F16" s="84"/>
      <c r="G16" s="84"/>
      <c r="H16" s="85"/>
    </row>
    <row r="17" spans="1:8" ht="39.75" customHeight="1">
      <c r="A17" s="4">
        <v>2</v>
      </c>
      <c r="B17" s="45"/>
      <c r="C17" s="51">
        <v>1</v>
      </c>
      <c r="D17" s="18" t="s">
        <v>67</v>
      </c>
      <c r="E17" s="46"/>
      <c r="F17" s="47" t="s">
        <v>9</v>
      </c>
      <c r="G17" s="48"/>
      <c r="H17" s="70">
        <f>E17*G17</f>
        <v>0</v>
      </c>
    </row>
    <row r="18" spans="1:8" ht="32.25" customHeight="1">
      <c r="A18" s="44"/>
      <c r="B18" s="45"/>
      <c r="C18" s="51">
        <v>2</v>
      </c>
      <c r="D18" s="18" t="s">
        <v>68</v>
      </c>
      <c r="E18" s="46"/>
      <c r="F18" s="47" t="s">
        <v>14</v>
      </c>
      <c r="G18" s="48"/>
      <c r="H18" s="70">
        <f t="shared" ref="H18:H34" si="1">E18*G18</f>
        <v>0</v>
      </c>
    </row>
    <row r="19" spans="1:8" ht="27" customHeight="1">
      <c r="A19" s="2"/>
      <c r="B19" s="5"/>
      <c r="C19" s="49">
        <v>3</v>
      </c>
      <c r="D19" s="16" t="s">
        <v>17</v>
      </c>
      <c r="E19" s="17"/>
      <c r="F19" s="8" t="s">
        <v>14</v>
      </c>
      <c r="G19" s="33"/>
      <c r="H19" s="70">
        <f t="shared" si="1"/>
        <v>0</v>
      </c>
    </row>
    <row r="20" spans="1:8" ht="26.25" customHeight="1">
      <c r="A20" s="4"/>
      <c r="B20" s="5"/>
      <c r="C20" s="49">
        <v>4</v>
      </c>
      <c r="D20" s="18" t="s">
        <v>34</v>
      </c>
      <c r="E20" s="23"/>
      <c r="F20" s="8" t="s">
        <v>5</v>
      </c>
      <c r="G20" s="33"/>
      <c r="H20" s="70">
        <f t="shared" si="1"/>
        <v>0</v>
      </c>
    </row>
    <row r="21" spans="1:8" ht="43.5" customHeight="1">
      <c r="A21" s="4"/>
      <c r="B21" s="5"/>
      <c r="C21" s="49">
        <v>5</v>
      </c>
      <c r="D21" s="18" t="s">
        <v>35</v>
      </c>
      <c r="E21" s="23"/>
      <c r="F21" s="8" t="s">
        <v>5</v>
      </c>
      <c r="G21" s="33"/>
      <c r="H21" s="70">
        <f t="shared" si="1"/>
        <v>0</v>
      </c>
    </row>
    <row r="22" spans="1:8" ht="38.25" customHeight="1">
      <c r="A22" s="4"/>
      <c r="B22" s="5"/>
      <c r="C22" s="49">
        <v>6</v>
      </c>
      <c r="D22" s="18" t="s">
        <v>36</v>
      </c>
      <c r="E22" s="23"/>
      <c r="F22" s="8" t="s">
        <v>14</v>
      </c>
      <c r="G22" s="33"/>
      <c r="H22" s="70">
        <f t="shared" si="1"/>
        <v>0</v>
      </c>
    </row>
    <row r="23" spans="1:8" ht="41.25" customHeight="1">
      <c r="A23" s="4"/>
      <c r="B23" s="5"/>
      <c r="C23" s="49">
        <v>7</v>
      </c>
      <c r="D23" s="19" t="s">
        <v>37</v>
      </c>
      <c r="E23" s="23"/>
      <c r="F23" s="8" t="s">
        <v>5</v>
      </c>
      <c r="G23" s="33"/>
      <c r="H23" s="70">
        <f t="shared" si="1"/>
        <v>0</v>
      </c>
    </row>
    <row r="24" spans="1:8" ht="34.049999999999997" customHeight="1">
      <c r="A24" s="37"/>
      <c r="B24" s="38"/>
      <c r="C24" s="50">
        <v>8</v>
      </c>
      <c r="D24" s="19" t="s">
        <v>38</v>
      </c>
      <c r="E24" s="39"/>
      <c r="F24" s="40" t="s">
        <v>46</v>
      </c>
      <c r="G24" s="41"/>
      <c r="H24" s="70">
        <f t="shared" si="1"/>
        <v>0</v>
      </c>
    </row>
    <row r="25" spans="1:8" ht="34.049999999999997" customHeight="1">
      <c r="A25" s="4"/>
      <c r="B25" s="5"/>
      <c r="C25" s="49">
        <v>9</v>
      </c>
      <c r="D25" s="20" t="s">
        <v>39</v>
      </c>
      <c r="E25" s="23"/>
      <c r="F25" s="8" t="s">
        <v>14</v>
      </c>
      <c r="G25" s="33"/>
      <c r="H25" s="70">
        <f t="shared" si="1"/>
        <v>0</v>
      </c>
    </row>
    <row r="26" spans="1:8" ht="34.049999999999997" customHeight="1">
      <c r="A26" s="37"/>
      <c r="B26" s="81"/>
      <c r="C26" s="50">
        <v>10</v>
      </c>
      <c r="D26" s="43" t="s">
        <v>77</v>
      </c>
      <c r="E26" s="52"/>
      <c r="F26" s="40" t="s">
        <v>79</v>
      </c>
      <c r="G26" s="41"/>
      <c r="H26" s="70">
        <f t="shared" si="1"/>
        <v>0</v>
      </c>
    </row>
    <row r="27" spans="1:8" ht="34.049999999999997" customHeight="1">
      <c r="A27" s="4"/>
      <c r="B27" s="5"/>
      <c r="C27" s="49">
        <v>11</v>
      </c>
      <c r="D27" s="22" t="s">
        <v>40</v>
      </c>
      <c r="E27" s="23"/>
      <c r="F27" s="8" t="s">
        <v>14</v>
      </c>
      <c r="G27" s="33"/>
      <c r="H27" s="70">
        <f t="shared" si="1"/>
        <v>0</v>
      </c>
    </row>
    <row r="28" spans="1:8" ht="34.049999999999997" customHeight="1">
      <c r="A28" s="4"/>
      <c r="B28" s="5"/>
      <c r="C28" s="49">
        <v>12</v>
      </c>
      <c r="D28" s="22" t="s">
        <v>41</v>
      </c>
      <c r="E28" s="23"/>
      <c r="F28" s="8" t="s">
        <v>5</v>
      </c>
      <c r="G28" s="33"/>
      <c r="H28" s="70">
        <f t="shared" si="1"/>
        <v>0</v>
      </c>
    </row>
    <row r="29" spans="1:8" ht="34.049999999999997" customHeight="1">
      <c r="A29" s="4"/>
      <c r="B29" s="5"/>
      <c r="C29" s="49">
        <v>13</v>
      </c>
      <c r="D29" s="22" t="s">
        <v>66</v>
      </c>
      <c r="E29" s="23"/>
      <c r="F29" s="8" t="s">
        <v>5</v>
      </c>
      <c r="G29" s="33"/>
      <c r="H29" s="70">
        <f t="shared" si="1"/>
        <v>0</v>
      </c>
    </row>
    <row r="30" spans="1:8" ht="34.049999999999997" customHeight="1">
      <c r="A30" s="4"/>
      <c r="B30" s="5"/>
      <c r="C30" s="49">
        <v>14</v>
      </c>
      <c r="D30" s="21" t="s">
        <v>64</v>
      </c>
      <c r="E30" s="23"/>
      <c r="F30" s="8" t="s">
        <v>46</v>
      </c>
      <c r="G30" s="33"/>
      <c r="H30" s="70">
        <f t="shared" si="1"/>
        <v>0</v>
      </c>
    </row>
    <row r="31" spans="1:8" ht="34.049999999999997" customHeight="1">
      <c r="A31" s="4"/>
      <c r="B31" s="5"/>
      <c r="C31" s="49">
        <v>15</v>
      </c>
      <c r="D31" s="22" t="s">
        <v>42</v>
      </c>
      <c r="E31" s="23"/>
      <c r="F31" s="8" t="s">
        <v>14</v>
      </c>
      <c r="G31" s="33"/>
      <c r="H31" s="70">
        <f t="shared" si="1"/>
        <v>0</v>
      </c>
    </row>
    <row r="32" spans="1:8" ht="34.049999999999997" customHeight="1">
      <c r="A32" s="4"/>
      <c r="B32" s="5"/>
      <c r="C32" s="49">
        <v>16</v>
      </c>
      <c r="D32" s="22" t="s">
        <v>43</v>
      </c>
      <c r="E32" s="23"/>
      <c r="F32" s="8"/>
      <c r="G32" s="33"/>
      <c r="H32" s="70">
        <f t="shared" si="1"/>
        <v>0</v>
      </c>
    </row>
    <row r="33" spans="1:8" ht="34.049999999999997" customHeight="1">
      <c r="A33" s="4"/>
      <c r="B33" s="5"/>
      <c r="C33" s="49">
        <v>17</v>
      </c>
      <c r="D33" s="22" t="s">
        <v>44</v>
      </c>
      <c r="E33" s="23"/>
      <c r="F33" s="8"/>
      <c r="G33" s="33"/>
      <c r="H33" s="70">
        <f t="shared" si="1"/>
        <v>0</v>
      </c>
    </row>
    <row r="34" spans="1:8" ht="34.049999999999997" customHeight="1">
      <c r="A34" s="4"/>
      <c r="B34" s="5"/>
      <c r="C34" s="49">
        <v>18</v>
      </c>
      <c r="D34" s="22" t="s">
        <v>45</v>
      </c>
      <c r="E34" s="23"/>
      <c r="F34" s="8"/>
      <c r="G34" s="33"/>
      <c r="H34" s="70">
        <f t="shared" si="1"/>
        <v>0</v>
      </c>
    </row>
    <row r="35" spans="1:8" ht="21">
      <c r="A35" s="86" t="s">
        <v>47</v>
      </c>
      <c r="B35" s="87"/>
      <c r="C35" s="87"/>
      <c r="D35" s="87"/>
      <c r="E35" s="87"/>
      <c r="F35" s="87"/>
      <c r="G35" s="87"/>
      <c r="H35" s="88"/>
    </row>
    <row r="36" spans="1:8" ht="55.5" customHeight="1">
      <c r="A36" s="4">
        <v>3</v>
      </c>
      <c r="B36" s="36"/>
      <c r="C36" s="10"/>
      <c r="D36" s="24"/>
      <c r="E36" s="23">
        <v>0</v>
      </c>
      <c r="F36" s="8" t="s">
        <v>5</v>
      </c>
      <c r="G36" s="33"/>
      <c r="H36" s="69">
        <f>E36*G36</f>
        <v>0</v>
      </c>
    </row>
    <row r="37" spans="1:8" ht="21">
      <c r="A37" s="89" t="s">
        <v>48</v>
      </c>
      <c r="B37" s="90"/>
      <c r="C37" s="90"/>
      <c r="D37" s="90"/>
      <c r="E37" s="90"/>
      <c r="F37" s="90"/>
      <c r="G37" s="90"/>
      <c r="H37" s="91"/>
    </row>
    <row r="38" spans="1:8" ht="42.75" customHeight="1">
      <c r="A38" s="4">
        <v>4</v>
      </c>
      <c r="B38" s="5"/>
      <c r="C38" s="10"/>
      <c r="D38" s="25"/>
      <c r="E38" s="26">
        <v>0</v>
      </c>
      <c r="F38" s="10" t="s">
        <v>5</v>
      </c>
      <c r="G38" s="11"/>
      <c r="H38" s="71">
        <f>E38*G38</f>
        <v>0</v>
      </c>
    </row>
    <row r="39" spans="1:8" ht="21">
      <c r="A39" s="89" t="s">
        <v>49</v>
      </c>
      <c r="B39" s="90"/>
      <c r="C39" s="90"/>
      <c r="D39" s="90"/>
      <c r="E39" s="90"/>
      <c r="F39" s="90"/>
      <c r="G39" s="90"/>
      <c r="H39" s="91"/>
    </row>
    <row r="40" spans="1:8" ht="37.5" customHeight="1">
      <c r="A40" s="4">
        <v>5</v>
      </c>
      <c r="B40" s="5"/>
      <c r="C40" s="10"/>
      <c r="D40" s="25"/>
      <c r="E40" s="26">
        <v>0</v>
      </c>
      <c r="F40" s="10" t="s">
        <v>5</v>
      </c>
      <c r="G40" s="11"/>
      <c r="H40" s="71">
        <f>E40*G40</f>
        <v>0</v>
      </c>
    </row>
    <row r="41" spans="1:8" ht="21">
      <c r="A41" s="89" t="s">
        <v>65</v>
      </c>
      <c r="B41" s="90"/>
      <c r="C41" s="90"/>
      <c r="D41" s="90"/>
      <c r="E41" s="90"/>
      <c r="F41" s="90"/>
      <c r="G41" s="90"/>
      <c r="H41" s="91"/>
    </row>
    <row r="42" spans="1:8" ht="49.95" customHeight="1">
      <c r="A42" s="4">
        <v>6</v>
      </c>
      <c r="B42" s="5"/>
      <c r="C42" s="10"/>
      <c r="D42" s="25"/>
      <c r="E42" s="26">
        <v>0</v>
      </c>
      <c r="F42" s="10" t="s">
        <v>5</v>
      </c>
      <c r="G42" s="11"/>
      <c r="H42" s="71">
        <f>E42*G42</f>
        <v>0</v>
      </c>
    </row>
    <row r="43" spans="1:8" ht="21">
      <c r="A43" s="108" t="s">
        <v>78</v>
      </c>
      <c r="B43" s="109"/>
      <c r="C43" s="109"/>
      <c r="D43" s="109"/>
      <c r="E43" s="109"/>
      <c r="F43" s="109"/>
      <c r="G43" s="109"/>
      <c r="H43" s="110">
        <f t="shared" ref="H43" si="2">E43*G43</f>
        <v>0</v>
      </c>
    </row>
    <row r="44" spans="1:8" ht="83.55" customHeight="1">
      <c r="A44" s="4">
        <f>A42+1</f>
        <v>7</v>
      </c>
      <c r="B44" s="55"/>
      <c r="C44" s="55"/>
      <c r="D44" s="22"/>
      <c r="E44" s="82"/>
      <c r="F44" s="55"/>
      <c r="G44" s="34"/>
      <c r="H44" s="72">
        <f t="shared" ref="H44:H88" si="3">E44*G44</f>
        <v>0</v>
      </c>
    </row>
    <row r="45" spans="1:8" ht="62.25" customHeight="1">
      <c r="A45" s="4">
        <f>A44+1</f>
        <v>8</v>
      </c>
      <c r="B45" s="55"/>
      <c r="C45" s="55"/>
      <c r="D45" s="22"/>
      <c r="E45" s="82"/>
      <c r="F45" s="55"/>
      <c r="G45" s="34"/>
      <c r="H45" s="72">
        <f t="shared" si="3"/>
        <v>0</v>
      </c>
    </row>
    <row r="46" spans="1:8" ht="80.25" customHeight="1">
      <c r="A46" s="4">
        <f t="shared" ref="A46:A99" si="4">A45+1</f>
        <v>9</v>
      </c>
      <c r="B46" s="55"/>
      <c r="C46" s="55"/>
      <c r="D46" s="22"/>
      <c r="E46" s="82"/>
      <c r="F46" s="55"/>
      <c r="G46" s="34"/>
      <c r="H46" s="72">
        <f t="shared" si="3"/>
        <v>0</v>
      </c>
    </row>
    <row r="47" spans="1:8" ht="102.75" customHeight="1">
      <c r="A47" s="4">
        <f t="shared" si="4"/>
        <v>10</v>
      </c>
      <c r="B47" s="55"/>
      <c r="C47" s="55"/>
      <c r="D47" s="22"/>
      <c r="E47" s="82"/>
      <c r="F47" s="55"/>
      <c r="G47" s="34"/>
      <c r="H47" s="72">
        <f t="shared" si="3"/>
        <v>0</v>
      </c>
    </row>
    <row r="48" spans="1:8" ht="86.25" customHeight="1">
      <c r="A48" s="4">
        <f t="shared" si="4"/>
        <v>11</v>
      </c>
      <c r="B48" s="55"/>
      <c r="C48" s="55"/>
      <c r="D48" s="22"/>
      <c r="E48" s="82"/>
      <c r="F48" s="55"/>
      <c r="G48" s="34"/>
      <c r="H48" s="72">
        <f t="shared" si="3"/>
        <v>0</v>
      </c>
    </row>
    <row r="49" spans="1:8" ht="86.25" customHeight="1">
      <c r="A49" s="4">
        <f t="shared" si="4"/>
        <v>12</v>
      </c>
      <c r="B49" s="55"/>
      <c r="C49" s="55"/>
      <c r="D49" s="22"/>
      <c r="E49" s="82"/>
      <c r="F49" s="55"/>
      <c r="G49" s="34"/>
      <c r="H49" s="72">
        <f t="shared" si="3"/>
        <v>0</v>
      </c>
    </row>
    <row r="50" spans="1:8" ht="86.25" customHeight="1">
      <c r="A50" s="4">
        <f t="shared" si="4"/>
        <v>13</v>
      </c>
      <c r="B50" s="55"/>
      <c r="C50" s="55"/>
      <c r="D50" s="22"/>
      <c r="E50" s="82"/>
      <c r="F50" s="55"/>
      <c r="G50" s="34"/>
      <c r="H50" s="72">
        <f t="shared" si="3"/>
        <v>0</v>
      </c>
    </row>
    <row r="51" spans="1:8" ht="86.25" customHeight="1">
      <c r="A51" s="4">
        <f t="shared" si="4"/>
        <v>14</v>
      </c>
      <c r="B51" s="55"/>
      <c r="C51" s="55"/>
      <c r="D51" s="22"/>
      <c r="E51" s="82"/>
      <c r="F51" s="55"/>
      <c r="G51" s="34"/>
      <c r="H51" s="72">
        <f t="shared" si="3"/>
        <v>0</v>
      </c>
    </row>
    <row r="52" spans="1:8" ht="86.25" customHeight="1">
      <c r="A52" s="4">
        <f t="shared" si="4"/>
        <v>15</v>
      </c>
      <c r="B52" s="55"/>
      <c r="C52" s="55"/>
      <c r="D52" s="22"/>
      <c r="E52" s="82"/>
      <c r="F52" s="55"/>
      <c r="G52" s="34"/>
      <c r="H52" s="72">
        <f t="shared" si="3"/>
        <v>0</v>
      </c>
    </row>
    <row r="53" spans="1:8" ht="86.25" customHeight="1">
      <c r="A53" s="4">
        <f t="shared" si="4"/>
        <v>16</v>
      </c>
      <c r="B53" s="55"/>
      <c r="C53" s="55"/>
      <c r="D53" s="22"/>
      <c r="E53" s="82"/>
      <c r="F53" s="55"/>
      <c r="G53" s="34"/>
      <c r="H53" s="72">
        <f t="shared" si="3"/>
        <v>0</v>
      </c>
    </row>
    <row r="54" spans="1:8" ht="86.25" customHeight="1">
      <c r="A54" s="4">
        <f t="shared" si="4"/>
        <v>17</v>
      </c>
      <c r="B54" s="55"/>
      <c r="C54" s="55"/>
      <c r="D54" s="22"/>
      <c r="E54" s="82"/>
      <c r="F54" s="55"/>
      <c r="G54" s="34"/>
      <c r="H54" s="72">
        <f t="shared" si="3"/>
        <v>0</v>
      </c>
    </row>
    <row r="55" spans="1:8" ht="86.25" customHeight="1">
      <c r="A55" s="4">
        <f t="shared" si="4"/>
        <v>18</v>
      </c>
      <c r="B55" s="55"/>
      <c r="C55" s="55"/>
      <c r="D55" s="22"/>
      <c r="E55" s="82"/>
      <c r="F55" s="55"/>
      <c r="G55" s="34"/>
      <c r="H55" s="72">
        <f t="shared" si="3"/>
        <v>0</v>
      </c>
    </row>
    <row r="56" spans="1:8" ht="86.25" customHeight="1">
      <c r="A56" s="4">
        <f t="shared" si="4"/>
        <v>19</v>
      </c>
      <c r="B56" s="55"/>
      <c r="C56" s="55"/>
      <c r="D56" s="22"/>
      <c r="E56" s="82"/>
      <c r="F56" s="55"/>
      <c r="G56" s="34"/>
      <c r="H56" s="72">
        <f t="shared" si="3"/>
        <v>0</v>
      </c>
    </row>
    <row r="57" spans="1:8" ht="86.25" customHeight="1">
      <c r="A57" s="4">
        <f t="shared" si="4"/>
        <v>20</v>
      </c>
      <c r="B57" s="55"/>
      <c r="C57" s="55"/>
      <c r="D57" s="22"/>
      <c r="E57" s="82"/>
      <c r="F57" s="55"/>
      <c r="G57" s="34"/>
      <c r="H57" s="72">
        <f t="shared" si="3"/>
        <v>0</v>
      </c>
    </row>
    <row r="58" spans="1:8" ht="64.5" customHeight="1">
      <c r="A58" s="4">
        <f t="shared" si="4"/>
        <v>21</v>
      </c>
      <c r="B58" s="55"/>
      <c r="C58" s="55"/>
      <c r="D58" s="22"/>
      <c r="E58" s="82"/>
      <c r="F58" s="55"/>
      <c r="G58" s="34"/>
      <c r="H58" s="72">
        <f t="shared" si="3"/>
        <v>0</v>
      </c>
    </row>
    <row r="59" spans="1:8" ht="86.25" customHeight="1">
      <c r="A59" s="4">
        <f t="shared" si="4"/>
        <v>22</v>
      </c>
      <c r="B59" s="55"/>
      <c r="C59" s="55"/>
      <c r="D59" s="22"/>
      <c r="E59" s="82"/>
      <c r="F59" s="55"/>
      <c r="G59" s="34"/>
      <c r="H59" s="72">
        <f t="shared" si="3"/>
        <v>0</v>
      </c>
    </row>
    <row r="60" spans="1:8" ht="86.25" customHeight="1">
      <c r="A60" s="4">
        <f t="shared" si="4"/>
        <v>23</v>
      </c>
      <c r="B60" s="55"/>
      <c r="C60" s="55"/>
      <c r="D60" s="22"/>
      <c r="E60" s="82"/>
      <c r="F60" s="55"/>
      <c r="G60" s="34"/>
      <c r="H60" s="72">
        <f t="shared" si="3"/>
        <v>0</v>
      </c>
    </row>
    <row r="61" spans="1:8" ht="86.25" customHeight="1">
      <c r="A61" s="4">
        <f t="shared" si="4"/>
        <v>24</v>
      </c>
      <c r="B61" s="55"/>
      <c r="C61" s="55"/>
      <c r="D61" s="22"/>
      <c r="E61" s="82"/>
      <c r="F61" s="55"/>
      <c r="G61" s="34"/>
      <c r="H61" s="72">
        <f t="shared" si="3"/>
        <v>0</v>
      </c>
    </row>
    <row r="62" spans="1:8" ht="86.25" customHeight="1">
      <c r="A62" s="4">
        <f t="shared" si="4"/>
        <v>25</v>
      </c>
      <c r="B62" s="55"/>
      <c r="C62" s="55"/>
      <c r="D62" s="22"/>
      <c r="E62" s="82"/>
      <c r="F62" s="55"/>
      <c r="G62" s="34"/>
      <c r="H62" s="72">
        <f t="shared" si="3"/>
        <v>0</v>
      </c>
    </row>
    <row r="63" spans="1:8" ht="86.25" customHeight="1">
      <c r="A63" s="4">
        <f t="shared" si="4"/>
        <v>26</v>
      </c>
      <c r="B63" s="55"/>
      <c r="C63" s="55"/>
      <c r="D63" s="22"/>
      <c r="E63" s="82"/>
      <c r="F63" s="55"/>
      <c r="G63" s="34"/>
      <c r="H63" s="72">
        <f t="shared" si="3"/>
        <v>0</v>
      </c>
    </row>
    <row r="64" spans="1:8" ht="86.25" customHeight="1">
      <c r="A64" s="4">
        <f t="shared" si="4"/>
        <v>27</v>
      </c>
      <c r="B64" s="55"/>
      <c r="C64" s="55"/>
      <c r="D64" s="22"/>
      <c r="E64" s="82"/>
      <c r="F64" s="55"/>
      <c r="G64" s="34"/>
      <c r="H64" s="72">
        <f t="shared" si="3"/>
        <v>0</v>
      </c>
    </row>
    <row r="65" spans="1:8" ht="86.25" customHeight="1">
      <c r="A65" s="4">
        <f t="shared" si="4"/>
        <v>28</v>
      </c>
      <c r="B65" s="55"/>
      <c r="C65" s="55"/>
      <c r="D65" s="22"/>
      <c r="E65" s="82"/>
      <c r="F65" s="55"/>
      <c r="G65" s="34"/>
      <c r="H65" s="72">
        <f t="shared" si="3"/>
        <v>0</v>
      </c>
    </row>
    <row r="66" spans="1:8" ht="63.75" customHeight="1">
      <c r="A66" s="4">
        <f t="shared" si="4"/>
        <v>29</v>
      </c>
      <c r="B66" s="55"/>
      <c r="C66" s="55"/>
      <c r="D66" s="22"/>
      <c r="E66" s="82"/>
      <c r="F66" s="55"/>
      <c r="G66" s="34"/>
      <c r="H66" s="72">
        <f t="shared" si="3"/>
        <v>0</v>
      </c>
    </row>
    <row r="67" spans="1:8" ht="69" customHeight="1">
      <c r="A67" s="4">
        <f t="shared" si="4"/>
        <v>30</v>
      </c>
      <c r="B67" s="55"/>
      <c r="C67" s="55"/>
      <c r="D67" s="22"/>
      <c r="E67" s="82"/>
      <c r="F67" s="55"/>
      <c r="G67" s="34"/>
      <c r="H67" s="72">
        <f t="shared" si="3"/>
        <v>0</v>
      </c>
    </row>
    <row r="68" spans="1:8" ht="86.25" customHeight="1">
      <c r="A68" s="4">
        <f t="shared" si="4"/>
        <v>31</v>
      </c>
      <c r="B68" s="55"/>
      <c r="C68" s="55"/>
      <c r="D68" s="22"/>
      <c r="E68" s="82"/>
      <c r="F68" s="55"/>
      <c r="G68" s="34"/>
      <c r="H68" s="72">
        <f t="shared" si="3"/>
        <v>0</v>
      </c>
    </row>
    <row r="69" spans="1:8" ht="86.25" customHeight="1">
      <c r="A69" s="4">
        <f t="shared" si="4"/>
        <v>32</v>
      </c>
      <c r="B69" s="55"/>
      <c r="C69" s="55"/>
      <c r="D69" s="22"/>
      <c r="E69" s="82"/>
      <c r="F69" s="55"/>
      <c r="G69" s="34"/>
      <c r="H69" s="72">
        <f t="shared" si="3"/>
        <v>0</v>
      </c>
    </row>
    <row r="70" spans="1:8" ht="61.5" customHeight="1">
      <c r="A70" s="4">
        <f t="shared" si="4"/>
        <v>33</v>
      </c>
      <c r="B70" s="55"/>
      <c r="C70" s="55"/>
      <c r="D70" s="22"/>
      <c r="E70" s="82"/>
      <c r="F70" s="55"/>
      <c r="G70" s="34"/>
      <c r="H70" s="72">
        <f t="shared" si="3"/>
        <v>0</v>
      </c>
    </row>
    <row r="71" spans="1:8" ht="100.5" customHeight="1">
      <c r="A71" s="4">
        <f t="shared" si="4"/>
        <v>34</v>
      </c>
      <c r="B71" s="55"/>
      <c r="C71" s="55"/>
      <c r="D71" s="22"/>
      <c r="E71" s="82"/>
      <c r="F71" s="55"/>
      <c r="G71" s="34"/>
      <c r="H71" s="72">
        <f t="shared" si="3"/>
        <v>0</v>
      </c>
    </row>
    <row r="72" spans="1:8" ht="86.25" customHeight="1">
      <c r="A72" s="4">
        <f t="shared" si="4"/>
        <v>35</v>
      </c>
      <c r="B72" s="55"/>
      <c r="C72" s="55"/>
      <c r="D72" s="22"/>
      <c r="E72" s="82"/>
      <c r="F72" s="55"/>
      <c r="G72" s="34"/>
      <c r="H72" s="72">
        <f t="shared" si="3"/>
        <v>0</v>
      </c>
    </row>
    <row r="73" spans="1:8" ht="86.25" customHeight="1">
      <c r="A73" s="4">
        <f t="shared" si="4"/>
        <v>36</v>
      </c>
      <c r="B73" s="55"/>
      <c r="C73" s="55"/>
      <c r="D73" s="22"/>
      <c r="E73" s="82"/>
      <c r="F73" s="55"/>
      <c r="G73" s="34"/>
      <c r="H73" s="72">
        <f t="shared" si="3"/>
        <v>0</v>
      </c>
    </row>
    <row r="74" spans="1:8" ht="86.25" customHeight="1">
      <c r="A74" s="4">
        <f t="shared" si="4"/>
        <v>37</v>
      </c>
      <c r="B74" s="55"/>
      <c r="C74" s="55"/>
      <c r="D74" s="22"/>
      <c r="E74" s="82"/>
      <c r="F74" s="55"/>
      <c r="G74" s="34"/>
      <c r="H74" s="72">
        <f t="shared" si="3"/>
        <v>0</v>
      </c>
    </row>
    <row r="75" spans="1:8" ht="86.25" customHeight="1">
      <c r="A75" s="4">
        <f t="shared" si="4"/>
        <v>38</v>
      </c>
      <c r="B75" s="55"/>
      <c r="C75" s="55"/>
      <c r="D75" s="22"/>
      <c r="E75" s="82"/>
      <c r="F75" s="55"/>
      <c r="G75" s="34"/>
      <c r="H75" s="72">
        <f t="shared" si="3"/>
        <v>0</v>
      </c>
    </row>
    <row r="76" spans="1:8" ht="86.25" customHeight="1">
      <c r="A76" s="4">
        <f t="shared" si="4"/>
        <v>39</v>
      </c>
      <c r="B76" s="55"/>
      <c r="C76" s="55"/>
      <c r="D76" s="22"/>
      <c r="E76" s="82"/>
      <c r="F76" s="55"/>
      <c r="G76" s="34"/>
      <c r="H76" s="72">
        <f t="shared" si="3"/>
        <v>0</v>
      </c>
    </row>
    <row r="77" spans="1:8" ht="86.25" customHeight="1">
      <c r="A77" s="4">
        <f t="shared" si="4"/>
        <v>40</v>
      </c>
      <c r="B77" s="55"/>
      <c r="C77" s="55"/>
      <c r="D77" s="22"/>
      <c r="E77" s="82"/>
      <c r="F77" s="55"/>
      <c r="G77" s="34"/>
      <c r="H77" s="72">
        <f t="shared" si="3"/>
        <v>0</v>
      </c>
    </row>
    <row r="78" spans="1:8" ht="70.5" customHeight="1">
      <c r="A78" s="4">
        <f t="shared" si="4"/>
        <v>41</v>
      </c>
      <c r="B78" s="55"/>
      <c r="C78" s="55"/>
      <c r="D78" s="22"/>
      <c r="E78" s="82"/>
      <c r="F78" s="55"/>
      <c r="G78" s="34"/>
      <c r="H78" s="72">
        <f t="shared" si="3"/>
        <v>0</v>
      </c>
    </row>
    <row r="79" spans="1:8" ht="93" customHeight="1">
      <c r="A79" s="4">
        <f t="shared" si="4"/>
        <v>42</v>
      </c>
      <c r="B79" s="55"/>
      <c r="C79" s="55"/>
      <c r="D79" s="22"/>
      <c r="E79" s="82"/>
      <c r="F79" s="55"/>
      <c r="G79" s="34"/>
      <c r="H79" s="72">
        <f t="shared" si="3"/>
        <v>0</v>
      </c>
    </row>
    <row r="80" spans="1:8" ht="86.25" customHeight="1">
      <c r="A80" s="4">
        <f t="shared" si="4"/>
        <v>43</v>
      </c>
      <c r="B80" s="55"/>
      <c r="C80" s="55"/>
      <c r="D80" s="22"/>
      <c r="E80" s="82"/>
      <c r="F80" s="55"/>
      <c r="G80" s="34"/>
      <c r="H80" s="72">
        <f t="shared" si="3"/>
        <v>0</v>
      </c>
    </row>
    <row r="81" spans="1:8" ht="104.25" customHeight="1">
      <c r="A81" s="4">
        <f t="shared" si="4"/>
        <v>44</v>
      </c>
      <c r="B81" s="55"/>
      <c r="C81" s="55"/>
      <c r="D81" s="22"/>
      <c r="E81" s="82"/>
      <c r="F81" s="55"/>
      <c r="G81" s="34"/>
      <c r="H81" s="72">
        <f t="shared" si="3"/>
        <v>0</v>
      </c>
    </row>
    <row r="82" spans="1:8" ht="86.25" customHeight="1">
      <c r="A82" s="4">
        <f t="shared" si="4"/>
        <v>45</v>
      </c>
      <c r="B82" s="55"/>
      <c r="C82" s="55"/>
      <c r="D82" s="22"/>
      <c r="E82" s="82"/>
      <c r="F82" s="55"/>
      <c r="G82" s="34"/>
      <c r="H82" s="72">
        <f t="shared" si="3"/>
        <v>0</v>
      </c>
    </row>
    <row r="83" spans="1:8" ht="86.25" customHeight="1">
      <c r="A83" s="4">
        <f t="shared" si="4"/>
        <v>46</v>
      </c>
      <c r="B83" s="55"/>
      <c r="C83" s="55"/>
      <c r="D83" s="22"/>
      <c r="E83" s="82"/>
      <c r="F83" s="55"/>
      <c r="G83" s="34"/>
      <c r="H83" s="72">
        <f t="shared" si="3"/>
        <v>0</v>
      </c>
    </row>
    <row r="84" spans="1:8" ht="68.25" customHeight="1">
      <c r="A84" s="4">
        <f t="shared" si="4"/>
        <v>47</v>
      </c>
      <c r="B84" s="55"/>
      <c r="C84" s="55"/>
      <c r="D84" s="22"/>
      <c r="E84" s="82"/>
      <c r="F84" s="55"/>
      <c r="G84" s="34"/>
      <c r="H84" s="72">
        <f t="shared" si="3"/>
        <v>0</v>
      </c>
    </row>
    <row r="85" spans="1:8" ht="135" customHeight="1">
      <c r="A85" s="4">
        <f t="shared" si="4"/>
        <v>48</v>
      </c>
      <c r="B85" s="55"/>
      <c r="C85" s="55"/>
      <c r="D85" s="22"/>
      <c r="E85" s="82"/>
      <c r="F85" s="55"/>
      <c r="G85" s="34"/>
      <c r="H85" s="72">
        <f t="shared" si="3"/>
        <v>0</v>
      </c>
    </row>
    <row r="86" spans="1:8" ht="127.5" customHeight="1">
      <c r="A86" s="4">
        <f t="shared" si="4"/>
        <v>49</v>
      </c>
      <c r="B86" s="55"/>
      <c r="C86" s="55"/>
      <c r="D86" s="22"/>
      <c r="E86" s="82"/>
      <c r="F86" s="55"/>
      <c r="G86" s="34"/>
      <c r="H86" s="72">
        <f t="shared" si="3"/>
        <v>0</v>
      </c>
    </row>
    <row r="87" spans="1:8" ht="63.75" customHeight="1">
      <c r="A87" s="4">
        <f t="shared" si="4"/>
        <v>50</v>
      </c>
      <c r="B87" s="55"/>
      <c r="C87" s="55"/>
      <c r="D87" s="22"/>
      <c r="E87" s="82"/>
      <c r="F87" s="55"/>
      <c r="G87" s="34"/>
      <c r="H87" s="72">
        <f t="shared" si="3"/>
        <v>0</v>
      </c>
    </row>
    <row r="88" spans="1:8" ht="86.25" customHeight="1">
      <c r="A88" s="4">
        <f t="shared" si="4"/>
        <v>51</v>
      </c>
      <c r="B88" s="55"/>
      <c r="C88" s="55"/>
      <c r="D88" s="22"/>
      <c r="E88" s="82"/>
      <c r="F88" s="55"/>
      <c r="G88" s="34"/>
      <c r="H88" s="72">
        <f t="shared" si="3"/>
        <v>0</v>
      </c>
    </row>
    <row r="89" spans="1:8" ht="86.25" customHeight="1">
      <c r="A89" s="4">
        <f t="shared" si="4"/>
        <v>52</v>
      </c>
      <c r="B89" s="55"/>
      <c r="C89" s="55"/>
      <c r="D89" s="22"/>
      <c r="E89" s="82"/>
      <c r="F89" s="55"/>
      <c r="G89" s="34"/>
      <c r="H89" s="72">
        <f t="shared" ref="H89:H99" si="5">E89*G89</f>
        <v>0</v>
      </c>
    </row>
    <row r="90" spans="1:8" ht="102" customHeight="1">
      <c r="A90" s="4">
        <f t="shared" si="4"/>
        <v>53</v>
      </c>
      <c r="B90" s="55"/>
      <c r="C90" s="55"/>
      <c r="D90" s="22"/>
      <c r="E90" s="82"/>
      <c r="F90" s="55"/>
      <c r="G90" s="34"/>
      <c r="H90" s="72">
        <f t="shared" si="5"/>
        <v>0</v>
      </c>
    </row>
    <row r="91" spans="1:8" ht="86.25" customHeight="1">
      <c r="A91" s="4">
        <f t="shared" si="4"/>
        <v>54</v>
      </c>
      <c r="B91" s="55"/>
      <c r="C91" s="55"/>
      <c r="D91" s="22"/>
      <c r="E91" s="82"/>
      <c r="F91" s="55"/>
      <c r="G91" s="34"/>
      <c r="H91" s="72">
        <f t="shared" si="5"/>
        <v>0</v>
      </c>
    </row>
    <row r="92" spans="1:8" ht="84" customHeight="1">
      <c r="A92" s="4">
        <f t="shared" si="4"/>
        <v>55</v>
      </c>
      <c r="B92" s="55"/>
      <c r="C92" s="55"/>
      <c r="D92" s="22"/>
      <c r="E92" s="82"/>
      <c r="F92" s="55"/>
      <c r="G92" s="34"/>
      <c r="H92" s="72">
        <f t="shared" si="5"/>
        <v>0</v>
      </c>
    </row>
    <row r="93" spans="1:8" ht="130.5" customHeight="1">
      <c r="A93" s="4">
        <f t="shared" si="4"/>
        <v>56</v>
      </c>
      <c r="B93" s="55"/>
      <c r="C93" s="55"/>
      <c r="D93" s="22"/>
      <c r="E93" s="82"/>
      <c r="F93" s="55"/>
      <c r="G93" s="34"/>
      <c r="H93" s="72">
        <f t="shared" si="5"/>
        <v>0</v>
      </c>
    </row>
    <row r="94" spans="1:8" ht="76.5" customHeight="1">
      <c r="A94" s="4">
        <f t="shared" si="4"/>
        <v>57</v>
      </c>
      <c r="B94" s="55"/>
      <c r="C94" s="55"/>
      <c r="D94" s="22"/>
      <c r="E94" s="82"/>
      <c r="F94" s="55"/>
      <c r="G94" s="34"/>
      <c r="H94" s="72">
        <f t="shared" si="5"/>
        <v>0</v>
      </c>
    </row>
    <row r="95" spans="1:8" ht="86.25" customHeight="1">
      <c r="A95" s="4">
        <f t="shared" si="4"/>
        <v>58</v>
      </c>
      <c r="B95" s="55"/>
      <c r="C95" s="55"/>
      <c r="D95" s="22"/>
      <c r="E95" s="82"/>
      <c r="F95" s="55"/>
      <c r="G95" s="34"/>
      <c r="H95" s="72">
        <f t="shared" si="5"/>
        <v>0</v>
      </c>
    </row>
    <row r="96" spans="1:8" ht="86.25" customHeight="1">
      <c r="A96" s="4">
        <f t="shared" si="4"/>
        <v>59</v>
      </c>
      <c r="B96" s="55"/>
      <c r="C96" s="55"/>
      <c r="D96" s="22"/>
      <c r="E96" s="82"/>
      <c r="F96" s="55"/>
      <c r="G96" s="34"/>
      <c r="H96" s="72">
        <f t="shared" si="5"/>
        <v>0</v>
      </c>
    </row>
    <row r="97" spans="1:8" ht="70.5" customHeight="1">
      <c r="A97" s="4">
        <f t="shared" si="4"/>
        <v>60</v>
      </c>
      <c r="B97" s="55"/>
      <c r="C97" s="55"/>
      <c r="D97" s="22"/>
      <c r="E97" s="82"/>
      <c r="F97" s="55"/>
      <c r="G97" s="34"/>
      <c r="H97" s="72">
        <f t="shared" si="5"/>
        <v>0</v>
      </c>
    </row>
    <row r="98" spans="1:8" ht="86.25" customHeight="1">
      <c r="A98" s="4">
        <f t="shared" si="4"/>
        <v>61</v>
      </c>
      <c r="B98" s="55"/>
      <c r="C98" s="55"/>
      <c r="D98" s="22"/>
      <c r="E98" s="82"/>
      <c r="F98" s="55"/>
      <c r="G98" s="34"/>
      <c r="H98" s="72">
        <f t="shared" si="5"/>
        <v>0</v>
      </c>
    </row>
    <row r="99" spans="1:8" ht="86.25" customHeight="1">
      <c r="A99" s="4">
        <f t="shared" si="4"/>
        <v>62</v>
      </c>
      <c r="B99" s="55"/>
      <c r="C99" s="55"/>
      <c r="D99" s="22"/>
      <c r="E99" s="82"/>
      <c r="F99" s="55"/>
      <c r="G99" s="34"/>
      <c r="H99" s="72">
        <f t="shared" si="5"/>
        <v>0</v>
      </c>
    </row>
    <row r="100" spans="1:8" ht="32.25" customHeight="1">
      <c r="A100" s="101" t="s">
        <v>69</v>
      </c>
      <c r="B100" s="102"/>
      <c r="C100" s="102"/>
      <c r="D100" s="102"/>
      <c r="E100" s="102"/>
      <c r="F100" s="102"/>
      <c r="G100" s="103"/>
      <c r="H100" s="73">
        <f>SUM(H9:H99)</f>
        <v>0</v>
      </c>
    </row>
    <row r="101" spans="1:8" ht="29.25" customHeight="1">
      <c r="A101" s="101" t="s">
        <v>71</v>
      </c>
      <c r="B101" s="102"/>
      <c r="C101" s="102"/>
      <c r="D101" s="102"/>
      <c r="E101" s="102"/>
      <c r="F101" s="102"/>
      <c r="G101" s="103"/>
      <c r="H101" s="73">
        <f>H100*2.5%</f>
        <v>0</v>
      </c>
    </row>
    <row r="102" spans="1:8" ht="33.75" customHeight="1">
      <c r="A102" s="101" t="s">
        <v>50</v>
      </c>
      <c r="B102" s="102"/>
      <c r="C102" s="102"/>
      <c r="D102" s="102"/>
      <c r="E102" s="102"/>
      <c r="F102" s="102"/>
      <c r="G102" s="103"/>
      <c r="H102" s="73">
        <f t="shared" ref="H102" si="6">E103*G102</f>
        <v>0</v>
      </c>
    </row>
    <row r="103" spans="1:8" ht="33.75" customHeight="1" thickBot="1">
      <c r="A103" s="104" t="s">
        <v>70</v>
      </c>
      <c r="B103" s="105"/>
      <c r="C103" s="105"/>
      <c r="D103" s="105"/>
      <c r="E103" s="105"/>
      <c r="F103" s="105"/>
      <c r="G103" s="106"/>
      <c r="H103" s="74">
        <f>H100+H101+H102</f>
        <v>0</v>
      </c>
    </row>
    <row r="104" spans="1:8" ht="19.5" customHeight="1">
      <c r="A104" s="57"/>
      <c r="B104" s="58"/>
      <c r="C104" s="58"/>
      <c r="D104" s="58"/>
      <c r="E104" s="58"/>
      <c r="F104" s="58"/>
      <c r="G104" s="58"/>
      <c r="H104" s="75"/>
    </row>
    <row r="105" spans="1:8" ht="27.6">
      <c r="A105" s="2"/>
      <c r="B105" s="1"/>
      <c r="C105" s="1"/>
      <c r="D105" s="28" t="s">
        <v>51</v>
      </c>
      <c r="E105" s="54"/>
      <c r="F105" s="30">
        <v>0.1</v>
      </c>
      <c r="G105" s="35">
        <f>H103*F105</f>
        <v>0</v>
      </c>
      <c r="H105" s="76">
        <f>H103+G105</f>
        <v>0</v>
      </c>
    </row>
    <row r="106" spans="1:8" ht="27.6" customHeight="1">
      <c r="A106" s="2"/>
      <c r="B106" s="1"/>
      <c r="C106" s="1"/>
      <c r="D106" s="28" t="s">
        <v>52</v>
      </c>
      <c r="E106" s="54"/>
      <c r="F106" s="30">
        <v>0.11</v>
      </c>
      <c r="G106" s="35">
        <f>H103*F106</f>
        <v>0</v>
      </c>
      <c r="H106" s="76">
        <f>H103+G106</f>
        <v>0</v>
      </c>
    </row>
    <row r="107" spans="1:8" ht="27.6">
      <c r="A107" s="2"/>
      <c r="B107" s="1"/>
      <c r="C107" s="1"/>
      <c r="D107" s="29" t="s">
        <v>53</v>
      </c>
      <c r="E107" s="54"/>
      <c r="F107" s="31">
        <v>0.12</v>
      </c>
      <c r="G107" s="35">
        <f>H103*F107</f>
        <v>0</v>
      </c>
      <c r="H107" s="76">
        <f>H103+G107</f>
        <v>0</v>
      </c>
    </row>
    <row r="108" spans="1:8" ht="30.75" customHeight="1">
      <c r="A108" s="77"/>
      <c r="B108" s="56"/>
      <c r="C108" s="56"/>
      <c r="D108" s="29" t="s">
        <v>54</v>
      </c>
      <c r="E108" s="54"/>
      <c r="F108" s="31">
        <v>0.13</v>
      </c>
      <c r="G108" s="35">
        <f>H103*F108</f>
        <v>0</v>
      </c>
      <c r="H108" s="76">
        <f>H103+G108</f>
        <v>0</v>
      </c>
    </row>
    <row r="109" spans="1:8" ht="27.6">
      <c r="A109" s="2"/>
      <c r="B109" s="1"/>
      <c r="C109" s="1"/>
      <c r="D109" s="29" t="s">
        <v>55</v>
      </c>
      <c r="E109" s="56"/>
      <c r="F109" s="31">
        <v>0.14000000000000001</v>
      </c>
      <c r="G109" s="35">
        <f>H103*F109</f>
        <v>0</v>
      </c>
      <c r="H109" s="76">
        <f>H103+G109</f>
        <v>0</v>
      </c>
    </row>
    <row r="110" spans="1:8" ht="27.6">
      <c r="A110" s="2"/>
      <c r="B110" s="1"/>
      <c r="C110" s="1"/>
      <c r="D110" s="29" t="s">
        <v>56</v>
      </c>
      <c r="E110" s="27"/>
      <c r="F110" s="31">
        <v>0.15</v>
      </c>
      <c r="G110" s="35">
        <f>H103*F110</f>
        <v>0</v>
      </c>
      <c r="H110" s="76">
        <f>H103+G110</f>
        <v>0</v>
      </c>
    </row>
    <row r="111" spans="1:8" ht="27.6">
      <c r="A111" s="2"/>
      <c r="B111" s="1"/>
      <c r="C111" s="1"/>
      <c r="D111" s="29" t="s">
        <v>57</v>
      </c>
      <c r="E111" s="27"/>
      <c r="F111" s="31">
        <v>0.16</v>
      </c>
      <c r="G111" s="35">
        <f>H103*F111</f>
        <v>0</v>
      </c>
      <c r="H111" s="76">
        <f>H103+G111</f>
        <v>0</v>
      </c>
    </row>
    <row r="112" spans="1:8" ht="27.6">
      <c r="A112" s="2"/>
      <c r="B112" s="1"/>
      <c r="C112" s="1"/>
      <c r="D112" s="29" t="s">
        <v>58</v>
      </c>
      <c r="E112" s="27"/>
      <c r="F112" s="31">
        <v>0.17</v>
      </c>
      <c r="G112" s="35">
        <f>$H$103*$F$112</f>
        <v>0</v>
      </c>
      <c r="H112" s="76">
        <f>H103+G112</f>
        <v>0</v>
      </c>
    </row>
    <row r="113" spans="1:8" ht="27.6">
      <c r="A113" s="2"/>
      <c r="B113" s="1"/>
      <c r="C113" s="1"/>
      <c r="D113" s="29" t="s">
        <v>59</v>
      </c>
      <c r="E113" s="27"/>
      <c r="F113" s="31">
        <v>0.18</v>
      </c>
      <c r="G113" s="35">
        <f>$H$103*$F$113</f>
        <v>0</v>
      </c>
      <c r="H113" s="76">
        <f>H103+G113</f>
        <v>0</v>
      </c>
    </row>
    <row r="114" spans="1:8" ht="27.6">
      <c r="A114" s="2"/>
      <c r="B114" s="1"/>
      <c r="C114" s="1"/>
      <c r="D114" s="29" t="s">
        <v>60</v>
      </c>
      <c r="E114" s="27"/>
      <c r="F114" s="31">
        <v>0.19</v>
      </c>
      <c r="G114" s="35">
        <f>$H$103*$F$114</f>
        <v>0</v>
      </c>
      <c r="H114" s="76">
        <f>H103+G114</f>
        <v>0</v>
      </c>
    </row>
    <row r="115" spans="1:8" ht="27.6">
      <c r="A115" s="2"/>
      <c r="B115" s="1"/>
      <c r="C115" s="1"/>
      <c r="D115" s="29" t="s">
        <v>61</v>
      </c>
      <c r="E115" s="27"/>
      <c r="F115" s="31">
        <v>0.2</v>
      </c>
      <c r="G115" s="35">
        <f>$H$103*$F$115</f>
        <v>0</v>
      </c>
      <c r="H115" s="76">
        <f>H103+G115</f>
        <v>0</v>
      </c>
    </row>
    <row r="116" spans="1:8" ht="27.6">
      <c r="A116" s="2"/>
      <c r="B116" s="1"/>
      <c r="C116" s="1"/>
      <c r="D116" s="29" t="s">
        <v>72</v>
      </c>
      <c r="E116" s="27"/>
      <c r="F116" s="31">
        <v>0.25</v>
      </c>
      <c r="G116" s="35">
        <f>$H$103*$F$116</f>
        <v>0</v>
      </c>
      <c r="H116" s="76">
        <f>H103+G116</f>
        <v>0</v>
      </c>
    </row>
    <row r="117" spans="1:8" ht="27.6">
      <c r="A117" s="2"/>
      <c r="B117" s="1"/>
      <c r="C117" s="1"/>
      <c r="D117" s="29" t="s">
        <v>73</v>
      </c>
      <c r="E117" s="27"/>
      <c r="F117" s="31">
        <v>0.3</v>
      </c>
      <c r="G117" s="35">
        <f>$H$103*$F$117</f>
        <v>0</v>
      </c>
      <c r="H117" s="76">
        <f>H103+G117</f>
        <v>0</v>
      </c>
    </row>
    <row r="118" spans="1:8" ht="27.6">
      <c r="A118" s="2"/>
      <c r="B118" s="1"/>
      <c r="C118" s="1"/>
      <c r="D118" s="29" t="s">
        <v>74</v>
      </c>
      <c r="E118" s="27"/>
      <c r="F118" s="31">
        <v>0.35</v>
      </c>
      <c r="G118" s="35">
        <f>$H$103*$F$118</f>
        <v>0</v>
      </c>
      <c r="H118" s="76">
        <f>H103+G118</f>
        <v>0</v>
      </c>
    </row>
    <row r="119" spans="1:8" ht="27.6">
      <c r="A119" s="2"/>
      <c r="B119" s="1"/>
      <c r="C119" s="1"/>
      <c r="D119" s="29" t="s">
        <v>75</v>
      </c>
      <c r="E119" s="27"/>
      <c r="F119" s="31">
        <v>0.4</v>
      </c>
      <c r="G119" s="35">
        <f>$H$103*$F$119</f>
        <v>0</v>
      </c>
      <c r="H119" s="76">
        <f>H103+G119</f>
        <v>0</v>
      </c>
    </row>
    <row r="120" spans="1:8" ht="38.25" customHeight="1" thickBot="1">
      <c r="A120" s="78"/>
      <c r="B120" s="79"/>
      <c r="C120" s="79"/>
      <c r="D120" s="99" t="s">
        <v>18</v>
      </c>
      <c r="E120" s="99"/>
      <c r="F120" s="99"/>
      <c r="G120" s="100"/>
      <c r="H120" s="80"/>
    </row>
    <row r="121" spans="1:8" ht="27.6">
      <c r="D121" s="53"/>
      <c r="E121" s="59"/>
      <c r="H121" s="13"/>
    </row>
    <row r="122" spans="1:8" ht="32.25" customHeight="1">
      <c r="A122" s="107" t="s">
        <v>76</v>
      </c>
      <c r="B122" s="107"/>
      <c r="C122" s="107"/>
      <c r="D122" s="107"/>
      <c r="E122" s="107"/>
      <c r="F122" s="107"/>
      <c r="G122" s="107"/>
      <c r="H122" s="107"/>
    </row>
    <row r="123" spans="1:8" ht="52.5" customHeight="1">
      <c r="A123" s="98" t="s">
        <v>6</v>
      </c>
      <c r="B123" s="98"/>
      <c r="C123" s="98"/>
      <c r="D123" s="98"/>
      <c r="E123" s="98"/>
      <c r="F123" s="98"/>
      <c r="G123" s="98"/>
      <c r="H123" s="98"/>
    </row>
    <row r="124" spans="1:8">
      <c r="H124" s="13"/>
    </row>
    <row r="125" spans="1:8">
      <c r="H125" s="13"/>
    </row>
    <row r="126" spans="1:8">
      <c r="H126" s="13"/>
    </row>
    <row r="127" spans="1:8">
      <c r="H127" s="13"/>
    </row>
    <row r="128" spans="1:8">
      <c r="H128" s="13"/>
    </row>
    <row r="129" spans="8:8">
      <c r="H129" s="13"/>
    </row>
    <row r="130" spans="8:8">
      <c r="H130" s="13"/>
    </row>
    <row r="131" spans="8:8">
      <c r="H131" s="13"/>
    </row>
    <row r="132" spans="8:8">
      <c r="H132" s="13"/>
    </row>
    <row r="133" spans="8:8">
      <c r="H133" s="13"/>
    </row>
    <row r="134" spans="8:8">
      <c r="H134" s="13"/>
    </row>
    <row r="135" spans="8:8">
      <c r="H135" s="13"/>
    </row>
    <row r="136" spans="8:8">
      <c r="H136" s="13"/>
    </row>
    <row r="137" spans="8:8">
      <c r="H137" s="13"/>
    </row>
    <row r="138" spans="8:8">
      <c r="H138" s="13"/>
    </row>
    <row r="139" spans="8:8">
      <c r="H139" s="13"/>
    </row>
    <row r="140" spans="8:8">
      <c r="H140" s="13"/>
    </row>
    <row r="141" spans="8:8">
      <c r="H141" s="13"/>
    </row>
    <row r="142" spans="8:8">
      <c r="H142" s="13"/>
    </row>
    <row r="143" spans="8:8">
      <c r="H143" s="13"/>
    </row>
    <row r="144" spans="8:8">
      <c r="H144" s="13"/>
    </row>
    <row r="145" spans="8:8">
      <c r="H145" s="13"/>
    </row>
    <row r="146" spans="8:8">
      <c r="H146" s="13"/>
    </row>
    <row r="147" spans="8:8">
      <c r="H147" s="13"/>
    </row>
    <row r="148" spans="8:8">
      <c r="H148" s="13"/>
    </row>
    <row r="149" spans="8:8">
      <c r="H149" s="13"/>
    </row>
    <row r="150" spans="8:8">
      <c r="H150" s="13"/>
    </row>
    <row r="151" spans="8:8">
      <c r="H151" s="13"/>
    </row>
    <row r="152" spans="8:8">
      <c r="H152" s="13"/>
    </row>
    <row r="153" spans="8:8">
      <c r="H153" s="13"/>
    </row>
    <row r="154" spans="8:8">
      <c r="H154" s="13"/>
    </row>
    <row r="155" spans="8:8">
      <c r="H155" s="13"/>
    </row>
    <row r="156" spans="8:8">
      <c r="H156" s="13"/>
    </row>
    <row r="157" spans="8:8">
      <c r="H157" s="13"/>
    </row>
    <row r="158" spans="8:8">
      <c r="H158" s="13"/>
    </row>
    <row r="159" spans="8:8">
      <c r="H159" s="13"/>
    </row>
    <row r="160" spans="8:8">
      <c r="H160" s="13"/>
    </row>
    <row r="161" spans="8:8">
      <c r="H161" s="13"/>
    </row>
    <row r="162" spans="8:8">
      <c r="H162" s="13"/>
    </row>
    <row r="163" spans="8:8">
      <c r="H163" s="13"/>
    </row>
    <row r="164" spans="8:8">
      <c r="H164" s="13"/>
    </row>
    <row r="165" spans="8:8">
      <c r="H165" s="13"/>
    </row>
    <row r="166" spans="8:8">
      <c r="H166" s="13"/>
    </row>
    <row r="167" spans="8:8">
      <c r="H167" s="13"/>
    </row>
    <row r="168" spans="8:8">
      <c r="H168" s="13"/>
    </row>
    <row r="169" spans="8:8">
      <c r="H169" s="13"/>
    </row>
    <row r="170" spans="8:8">
      <c r="H170" s="13"/>
    </row>
    <row r="171" spans="8:8">
      <c r="H171" s="13"/>
    </row>
    <row r="172" spans="8:8">
      <c r="H172" s="13"/>
    </row>
    <row r="173" spans="8:8">
      <c r="H173" s="13"/>
    </row>
    <row r="174" spans="8:8">
      <c r="H174" s="13"/>
    </row>
    <row r="175" spans="8:8">
      <c r="H175" s="13"/>
    </row>
    <row r="176" spans="8:8">
      <c r="H176" s="13"/>
    </row>
    <row r="177" spans="8:8">
      <c r="H177" s="13"/>
    </row>
    <row r="178" spans="8:8">
      <c r="H178" s="13"/>
    </row>
    <row r="179" spans="8:8">
      <c r="H179" s="13"/>
    </row>
    <row r="180" spans="8:8">
      <c r="H180" s="13"/>
    </row>
    <row r="181" spans="8:8">
      <c r="H181" s="13"/>
    </row>
    <row r="182" spans="8:8">
      <c r="H182" s="13"/>
    </row>
    <row r="183" spans="8:8">
      <c r="H183" s="13"/>
    </row>
    <row r="184" spans="8:8">
      <c r="H184" s="13"/>
    </row>
    <row r="185" spans="8:8">
      <c r="H185" s="13"/>
    </row>
    <row r="186" spans="8:8">
      <c r="H186" s="13"/>
    </row>
    <row r="187" spans="8:8">
      <c r="H187" s="13"/>
    </row>
    <row r="188" spans="8:8">
      <c r="H188" s="13"/>
    </row>
    <row r="189" spans="8:8">
      <c r="H189" s="13"/>
    </row>
    <row r="190" spans="8:8">
      <c r="H190" s="13"/>
    </row>
    <row r="191" spans="8:8">
      <c r="H191" s="13"/>
    </row>
    <row r="192" spans="8:8">
      <c r="H192" s="13"/>
    </row>
    <row r="193" spans="8:8">
      <c r="H193" s="13"/>
    </row>
    <row r="194" spans="8:8">
      <c r="H194" s="13"/>
    </row>
    <row r="195" spans="8:8" ht="34.5" customHeight="1">
      <c r="H195" s="13"/>
    </row>
    <row r="196" spans="8:8">
      <c r="H196" s="13"/>
    </row>
    <row r="197" spans="8:8">
      <c r="H197" s="13"/>
    </row>
    <row r="198" spans="8:8">
      <c r="H198" s="13"/>
    </row>
    <row r="199" spans="8:8">
      <c r="H199" s="13"/>
    </row>
    <row r="200" spans="8:8">
      <c r="H200" s="13"/>
    </row>
    <row r="201" spans="8:8">
      <c r="H201" s="13"/>
    </row>
    <row r="202" spans="8:8">
      <c r="H202" s="13"/>
    </row>
    <row r="203" spans="8:8">
      <c r="H203" s="13"/>
    </row>
    <row r="204" spans="8:8">
      <c r="H204" s="13"/>
    </row>
    <row r="205" spans="8:8">
      <c r="H205" s="13"/>
    </row>
    <row r="206" spans="8:8">
      <c r="H206" s="13"/>
    </row>
    <row r="207" spans="8:8">
      <c r="H207" s="13"/>
    </row>
    <row r="208" spans="8:8">
      <c r="H208" s="13"/>
    </row>
    <row r="209" spans="8:8">
      <c r="H209" s="13"/>
    </row>
    <row r="210" spans="8:8">
      <c r="H210" s="13"/>
    </row>
    <row r="211" spans="8:8">
      <c r="H211" s="13"/>
    </row>
    <row r="212" spans="8:8">
      <c r="H212" s="13"/>
    </row>
    <row r="213" spans="8:8">
      <c r="H213" s="13"/>
    </row>
    <row r="214" spans="8:8">
      <c r="H214" s="13"/>
    </row>
    <row r="215" spans="8:8">
      <c r="H215" s="13"/>
    </row>
    <row r="216" spans="8:8">
      <c r="H216" s="13"/>
    </row>
    <row r="217" spans="8:8">
      <c r="H217" s="13"/>
    </row>
    <row r="218" spans="8:8">
      <c r="H218" s="13"/>
    </row>
    <row r="219" spans="8:8">
      <c r="H219" s="13"/>
    </row>
    <row r="220" spans="8:8">
      <c r="H220" s="13"/>
    </row>
    <row r="221" spans="8:8">
      <c r="H221" s="13"/>
    </row>
    <row r="222" spans="8:8">
      <c r="H222" s="13"/>
    </row>
    <row r="223" spans="8:8">
      <c r="H223" s="13"/>
    </row>
    <row r="224" spans="8:8">
      <c r="H224" s="13"/>
    </row>
    <row r="225" spans="8:8">
      <c r="H225" s="13"/>
    </row>
    <row r="226" spans="8:8">
      <c r="H226" s="13"/>
    </row>
    <row r="227" spans="8:8">
      <c r="H227" s="13"/>
    </row>
    <row r="228" spans="8:8">
      <c r="H228" s="13"/>
    </row>
    <row r="229" spans="8:8">
      <c r="H229" s="13"/>
    </row>
    <row r="230" spans="8:8">
      <c r="H230" s="13"/>
    </row>
    <row r="231" spans="8:8">
      <c r="H231" s="13"/>
    </row>
    <row r="232" spans="8:8">
      <c r="H232" s="13"/>
    </row>
    <row r="233" spans="8:8">
      <c r="H233" s="13"/>
    </row>
    <row r="234" spans="8:8">
      <c r="H234" s="13"/>
    </row>
    <row r="235" spans="8:8">
      <c r="H235" s="13"/>
    </row>
    <row r="236" spans="8:8">
      <c r="H236" s="13"/>
    </row>
    <row r="237" spans="8:8">
      <c r="H237" s="13"/>
    </row>
    <row r="238" spans="8:8">
      <c r="H238" s="13"/>
    </row>
    <row r="239" spans="8:8">
      <c r="H239" s="13"/>
    </row>
    <row r="240" spans="8:8">
      <c r="H240" s="13"/>
    </row>
    <row r="241" spans="8:8">
      <c r="H241" s="13"/>
    </row>
    <row r="242" spans="8:8">
      <c r="H242" s="13"/>
    </row>
    <row r="243" spans="8:8">
      <c r="H243" s="13"/>
    </row>
    <row r="244" spans="8:8">
      <c r="H244" s="13"/>
    </row>
    <row r="245" spans="8:8">
      <c r="H245" s="13"/>
    </row>
    <row r="246" spans="8:8">
      <c r="H246" s="13"/>
    </row>
    <row r="247" spans="8:8">
      <c r="H247" s="13"/>
    </row>
    <row r="248" spans="8:8">
      <c r="H248" s="13"/>
    </row>
    <row r="249" spans="8:8">
      <c r="H249" s="13"/>
    </row>
    <row r="250" spans="8:8">
      <c r="H250" s="13"/>
    </row>
    <row r="251" spans="8:8">
      <c r="H251" s="13"/>
    </row>
    <row r="252" spans="8:8">
      <c r="H252" s="13"/>
    </row>
    <row r="253" spans="8:8">
      <c r="H253" s="13"/>
    </row>
    <row r="254" spans="8:8">
      <c r="H254" s="13"/>
    </row>
    <row r="255" spans="8:8">
      <c r="H255" s="13"/>
    </row>
    <row r="256" spans="8:8">
      <c r="H256" s="13"/>
    </row>
    <row r="257" spans="8:8">
      <c r="H257" s="13"/>
    </row>
    <row r="258" spans="8:8">
      <c r="H258" s="13"/>
    </row>
    <row r="259" spans="8:8">
      <c r="H259" s="13"/>
    </row>
    <row r="260" spans="8:8">
      <c r="H260" s="13"/>
    </row>
    <row r="261" spans="8:8">
      <c r="H261" s="13"/>
    </row>
    <row r="262" spans="8:8">
      <c r="H262" s="13"/>
    </row>
    <row r="263" spans="8:8">
      <c r="H263" s="13"/>
    </row>
    <row r="264" spans="8:8">
      <c r="H264" s="13"/>
    </row>
    <row r="265" spans="8:8">
      <c r="H265" s="13"/>
    </row>
    <row r="266" spans="8:8">
      <c r="H266" s="13"/>
    </row>
    <row r="267" spans="8:8">
      <c r="H267" s="13"/>
    </row>
    <row r="268" spans="8:8">
      <c r="H268" s="13"/>
    </row>
    <row r="269" spans="8:8">
      <c r="H269" s="13"/>
    </row>
    <row r="270" spans="8:8">
      <c r="H270" s="13"/>
    </row>
    <row r="271" spans="8:8">
      <c r="H271" s="13"/>
    </row>
    <row r="272" spans="8:8">
      <c r="H272" s="13"/>
    </row>
    <row r="273" spans="8:8">
      <c r="H273" s="13"/>
    </row>
    <row r="274" spans="8:8">
      <c r="H274" s="13"/>
    </row>
    <row r="275" spans="8:8">
      <c r="H275" s="13"/>
    </row>
    <row r="276" spans="8:8">
      <c r="H276" s="13"/>
    </row>
    <row r="277" spans="8:8">
      <c r="H277" s="13"/>
    </row>
    <row r="278" spans="8:8">
      <c r="H278" s="13"/>
    </row>
    <row r="279" spans="8:8">
      <c r="H279" s="13"/>
    </row>
    <row r="280" spans="8:8">
      <c r="H280" s="13"/>
    </row>
    <row r="281" spans="8:8">
      <c r="H281" s="13"/>
    </row>
    <row r="282" spans="8:8">
      <c r="H282" s="13"/>
    </row>
    <row r="283" spans="8:8">
      <c r="H283" s="13"/>
    </row>
    <row r="284" spans="8:8">
      <c r="H284" s="13"/>
    </row>
    <row r="285" spans="8:8">
      <c r="H285" s="13"/>
    </row>
    <row r="286" spans="8:8">
      <c r="H286" s="13"/>
    </row>
    <row r="287" spans="8:8">
      <c r="H287" s="13"/>
    </row>
    <row r="288" spans="8:8">
      <c r="H288" s="13"/>
    </row>
    <row r="289" spans="8:8">
      <c r="H289" s="13"/>
    </row>
    <row r="290" spans="8:8">
      <c r="H290" s="13"/>
    </row>
    <row r="291" spans="8:8">
      <c r="H291" s="13"/>
    </row>
    <row r="292" spans="8:8">
      <c r="H292" s="13"/>
    </row>
    <row r="293" spans="8:8">
      <c r="H293" s="13"/>
    </row>
    <row r="294" spans="8:8">
      <c r="H294" s="13"/>
    </row>
    <row r="295" spans="8:8">
      <c r="H295" s="13"/>
    </row>
    <row r="296" spans="8:8">
      <c r="H296" s="13"/>
    </row>
    <row r="297" spans="8:8">
      <c r="H297" s="13"/>
    </row>
    <row r="298" spans="8:8">
      <c r="H298" s="13"/>
    </row>
    <row r="299" spans="8:8">
      <c r="H299" s="13"/>
    </row>
    <row r="300" spans="8:8">
      <c r="H300" s="13"/>
    </row>
    <row r="301" spans="8:8">
      <c r="H301" s="13"/>
    </row>
    <row r="302" spans="8:8">
      <c r="H302" s="13"/>
    </row>
    <row r="303" spans="8:8">
      <c r="H303" s="13"/>
    </row>
    <row r="304" spans="8:8">
      <c r="H304" s="13"/>
    </row>
    <row r="305" spans="8:8">
      <c r="H305" s="13"/>
    </row>
    <row r="306" spans="8:8">
      <c r="H306" s="13"/>
    </row>
    <row r="307" spans="8:8">
      <c r="H307" s="13"/>
    </row>
    <row r="308" spans="8:8">
      <c r="H308" s="13"/>
    </row>
    <row r="309" spans="8:8">
      <c r="H309" s="13"/>
    </row>
    <row r="310" spans="8:8">
      <c r="H310" s="13"/>
    </row>
    <row r="311" spans="8:8">
      <c r="H311" s="13"/>
    </row>
    <row r="312" spans="8:8">
      <c r="H312" s="13"/>
    </row>
    <row r="313" spans="8:8">
      <c r="H313" s="13"/>
    </row>
    <row r="314" spans="8:8">
      <c r="H314" s="13"/>
    </row>
    <row r="315" spans="8:8">
      <c r="H315" s="13"/>
    </row>
    <row r="316" spans="8:8">
      <c r="H316" s="13"/>
    </row>
    <row r="317" spans="8:8">
      <c r="H317" s="13"/>
    </row>
    <row r="318" spans="8:8">
      <c r="H318" s="13"/>
    </row>
    <row r="319" spans="8:8">
      <c r="H319" s="13"/>
    </row>
    <row r="320" spans="8:8">
      <c r="H320" s="13"/>
    </row>
    <row r="321" spans="8:8">
      <c r="H321" s="13"/>
    </row>
    <row r="322" spans="8:8">
      <c r="H322" s="13"/>
    </row>
    <row r="323" spans="8:8">
      <c r="H323" s="13"/>
    </row>
    <row r="324" spans="8:8">
      <c r="H324" s="13"/>
    </row>
    <row r="325" spans="8:8">
      <c r="H325" s="13"/>
    </row>
    <row r="326" spans="8:8">
      <c r="H326" s="13"/>
    </row>
    <row r="327" spans="8:8">
      <c r="H327" s="13"/>
    </row>
    <row r="328" spans="8:8">
      <c r="H328" s="13"/>
    </row>
    <row r="329" spans="8:8">
      <c r="H329" s="13"/>
    </row>
    <row r="330" spans="8:8">
      <c r="H330" s="13"/>
    </row>
    <row r="331" spans="8:8">
      <c r="H331" s="13"/>
    </row>
    <row r="332" spans="8:8">
      <c r="H332" s="13"/>
    </row>
    <row r="333" spans="8:8">
      <c r="H333" s="13"/>
    </row>
    <row r="334" spans="8:8">
      <c r="H334" s="13"/>
    </row>
    <row r="335" spans="8:8">
      <c r="H335" s="13"/>
    </row>
    <row r="336" spans="8:8">
      <c r="H336" s="13"/>
    </row>
    <row r="337" spans="8:8">
      <c r="H337" s="13"/>
    </row>
    <row r="338" spans="8:8">
      <c r="H338" s="13"/>
    </row>
    <row r="339" spans="8:8">
      <c r="H339" s="13"/>
    </row>
    <row r="340" spans="8:8">
      <c r="H340" s="13"/>
    </row>
    <row r="341" spans="8:8">
      <c r="H341" s="13"/>
    </row>
    <row r="342" spans="8:8">
      <c r="H342" s="13"/>
    </row>
    <row r="343" spans="8:8">
      <c r="H343" s="13"/>
    </row>
    <row r="344" spans="8:8">
      <c r="H344" s="13"/>
    </row>
    <row r="345" spans="8:8">
      <c r="H345" s="13"/>
    </row>
    <row r="346" spans="8:8">
      <c r="H346" s="13"/>
    </row>
    <row r="347" spans="8:8">
      <c r="H347" s="13"/>
    </row>
    <row r="348" spans="8:8">
      <c r="H348" s="13"/>
    </row>
    <row r="349" spans="8:8">
      <c r="H349" s="13"/>
    </row>
    <row r="350" spans="8:8">
      <c r="H350" s="13"/>
    </row>
    <row r="351" spans="8:8">
      <c r="H351" s="13"/>
    </row>
    <row r="352" spans="8:8">
      <c r="H352" s="13"/>
    </row>
    <row r="353" spans="8:8">
      <c r="H353" s="13"/>
    </row>
    <row r="354" spans="8:8">
      <c r="H354" s="13"/>
    </row>
    <row r="355" spans="8:8">
      <c r="H355" s="13"/>
    </row>
    <row r="356" spans="8:8">
      <c r="H356" s="13"/>
    </row>
    <row r="357" spans="8:8">
      <c r="H357" s="13"/>
    </row>
    <row r="358" spans="8:8">
      <c r="H358" s="13"/>
    </row>
    <row r="359" spans="8:8">
      <c r="H359" s="13"/>
    </row>
    <row r="360" spans="8:8">
      <c r="H360" s="13"/>
    </row>
    <row r="361" spans="8:8">
      <c r="H361" s="13"/>
    </row>
    <row r="362" spans="8:8">
      <c r="H362" s="13"/>
    </row>
    <row r="363" spans="8:8">
      <c r="H363" s="13"/>
    </row>
    <row r="364" spans="8:8">
      <c r="H364" s="13"/>
    </row>
    <row r="365" spans="8:8">
      <c r="H365" s="13"/>
    </row>
    <row r="366" spans="8:8">
      <c r="H366" s="13"/>
    </row>
    <row r="367" spans="8:8">
      <c r="H367" s="13"/>
    </row>
    <row r="368" spans="8:8">
      <c r="H368" s="13"/>
    </row>
    <row r="369" spans="8:8">
      <c r="H369" s="13"/>
    </row>
    <row r="370" spans="8:8">
      <c r="H370" s="13"/>
    </row>
    <row r="371" spans="8:8">
      <c r="H371" s="13"/>
    </row>
    <row r="372" spans="8:8">
      <c r="H372" s="13"/>
    </row>
    <row r="373" spans="8:8">
      <c r="H373" s="13"/>
    </row>
    <row r="374" spans="8:8">
      <c r="H374" s="13"/>
    </row>
    <row r="375" spans="8:8">
      <c r="H375" s="13"/>
    </row>
    <row r="376" spans="8:8">
      <c r="H376" s="13"/>
    </row>
    <row r="377" spans="8:8">
      <c r="H377" s="13"/>
    </row>
    <row r="378" spans="8:8">
      <c r="H378" s="13"/>
    </row>
    <row r="379" spans="8:8">
      <c r="H379" s="13"/>
    </row>
    <row r="380" spans="8:8">
      <c r="H380" s="13"/>
    </row>
    <row r="381" spans="8:8">
      <c r="H381" s="13"/>
    </row>
    <row r="382" spans="8:8">
      <c r="H382" s="13"/>
    </row>
    <row r="383" spans="8:8">
      <c r="H383" s="13"/>
    </row>
    <row r="384" spans="8:8">
      <c r="H384" s="13"/>
    </row>
    <row r="385" spans="8:8">
      <c r="H385" s="13"/>
    </row>
    <row r="386" spans="8:8">
      <c r="H386" s="13"/>
    </row>
    <row r="387" spans="8:8">
      <c r="H387" s="13"/>
    </row>
    <row r="388" spans="8:8">
      <c r="H388" s="13"/>
    </row>
    <row r="389" spans="8:8">
      <c r="H389" s="13"/>
    </row>
    <row r="390" spans="8:8">
      <c r="H390" s="13"/>
    </row>
    <row r="391" spans="8:8">
      <c r="H391" s="13"/>
    </row>
    <row r="392" spans="8:8">
      <c r="H392" s="13"/>
    </row>
    <row r="393" spans="8:8">
      <c r="H393" s="13"/>
    </row>
    <row r="394" spans="8:8">
      <c r="H394" s="13"/>
    </row>
    <row r="395" spans="8:8">
      <c r="H395" s="13"/>
    </row>
    <row r="396" spans="8:8">
      <c r="H396" s="13"/>
    </row>
    <row r="397" spans="8:8">
      <c r="H397" s="13"/>
    </row>
    <row r="398" spans="8:8">
      <c r="H398" s="13"/>
    </row>
    <row r="399" spans="8:8">
      <c r="H399" s="13"/>
    </row>
    <row r="400" spans="8:8">
      <c r="H400" s="13"/>
    </row>
    <row r="401" spans="8:8">
      <c r="H401" s="13"/>
    </row>
    <row r="402" spans="8:8">
      <c r="H402" s="13"/>
    </row>
  </sheetData>
  <mergeCells count="21">
    <mergeCell ref="A43:H43"/>
    <mergeCell ref="A123:H123"/>
    <mergeCell ref="D120:G120"/>
    <mergeCell ref="A100:G100"/>
    <mergeCell ref="A101:G101"/>
    <mergeCell ref="A102:G102"/>
    <mergeCell ref="A103:G103"/>
    <mergeCell ref="A122:H122"/>
    <mergeCell ref="A1:H1"/>
    <mergeCell ref="A6:C6"/>
    <mergeCell ref="D3:H3"/>
    <mergeCell ref="A2:H2"/>
    <mergeCell ref="A8:H8"/>
    <mergeCell ref="A3:C3"/>
    <mergeCell ref="A4:C4"/>
    <mergeCell ref="A5:C5"/>
    <mergeCell ref="A16:H16"/>
    <mergeCell ref="A35:H35"/>
    <mergeCell ref="A37:H37"/>
    <mergeCell ref="A39:H39"/>
    <mergeCell ref="A41:H41"/>
  </mergeCells>
  <phoneticPr fontId="22" type="noConversion"/>
  <printOptions horizontalCentered="1"/>
  <pageMargins left="0.45" right="0.45" top="0.2" bottom="0.3" header="0.41" footer="0.14000000000000001"/>
  <pageSetup scale="46" fitToHeight="0" orientation="portrait" r:id="rId1"/>
  <headerFooter>
    <oddFooter>&amp;C&amp;P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30D352-191E-44C0-B95B-5D3BE7FEAD0B}">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ZEE CONSULTANTS INC</cp:lastModifiedBy>
  <cp:lastPrinted>2024-06-10T18:47:06Z</cp:lastPrinted>
  <dcterms:created xsi:type="dcterms:W3CDTF">2018-06-03T20:17:35Z</dcterms:created>
  <dcterms:modified xsi:type="dcterms:W3CDTF">2026-04-04T23:09:15Z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{9630D352-191E-44C0-B95B-5D3BE7FEAD0B}</vt:lpwstr>
  </property>
</Properties>
</file>